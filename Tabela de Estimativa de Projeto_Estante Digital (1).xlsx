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RFS ou RFC" sheetId="3" r:id="rId6"/>
    <sheet state="visible" name="Fatores" sheetId="4" r:id="rId7"/>
    <sheet state="visible" name="dadoshistoricos" sheetId="5" r:id="rId8"/>
  </sheets>
  <definedNames>
    <definedName name="TotalDiasUteisProjeto">geral!#ref!</definedName>
    <definedName name="TotalHorasProjeto">geral!#ref!</definedName>
    <definedName name="UC">'RFS ou RFC'!$A$12:$C$39</definedName>
    <definedName name="ITEC">Fatores!$E$22</definedName>
    <definedName localSheetId="2" name="_Toc112831755">'RFS ou RFC'!$B$13</definedName>
    <definedName name="Atores">Atores!$B$13:$C$16</definedName>
    <definedName name="PTA">Atores!$D$10</definedName>
    <definedName name="FCAMB">Fatores!$G$36</definedName>
    <definedName name="FCTEC">Fatores!$E$22</definedName>
    <definedName name="PTUC">'RFS ou RFC'!$D$10</definedName>
    <definedName name="CUC">'RFS ou RFC'!$D$13:$D$39</definedName>
  </definedNames>
  <calcPr/>
  <extLst>
    <ext uri="GoogleSheetsCustomDataVersion2">
      <go:sheetsCustomData xmlns:go="http://customooxmlschemas.google.com/" r:id="rId9" roundtripDataChecksum="aCPMQEPKwHA7jpJPmaHNMc0GfBZ5jT8gSHjXpOF/6m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ID#AAABtRWpGxI
Ator Simples    (2025-10-28 19:14:00)
Representa um outro sistema com Interface definida de Programas.</t>
      </text>
    </comment>
    <comment authorId="0" ref="B8">
      <text>
        <t xml:space="preserve">======
ID#AAABtRWpGxE
Ator Médio    (2025-10-28 19:14:00)
Representa um outro sistema que  interage através de protocolos ou quando há interação humana através de terminal.</t>
      </text>
    </comment>
    <comment authorId="0" ref="B9">
      <text>
        <t xml:space="preserve">======
ID#AAABtRWpGxA
Ator Complexo    (2025-10-28 19:14:00)
É uma pessoa que interage através de Interface
Gráfica ou página Web.</t>
      </text>
    </comment>
  </commentList>
  <extLst>
    <ext uri="GoogleSheetsCustomDataVersion2">
      <go:sheetsCustomData xmlns:go="http://customooxmlschemas.google.com/" r:id="rId1" roundtripDataSignature="AMtx7mjPVkYmhLdIRsXdf7Kt95XHxGkg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ID#AAABtRWpGxM
UC Simples    (2025-10-28 19:14:00)
Tem até 3 Entidades</t>
      </text>
    </comment>
    <comment authorId="0" ref="B9">
      <text>
        <t xml:space="preserve">======
ID#AAABtRWpGw8
UC Complexo    (2025-10-28 19:14:00)
Acima de 5 entidades.</t>
      </text>
    </comment>
    <comment authorId="0" ref="D12">
      <text>
        <t xml:space="preserve">======
ID#AAABtRWpGw4
Fórmula para Identificar de forma automática a complexidade do UC    (2025-10-28 19:14:00)
=SE(C13&lt;4;"Simples";(SE(C13&gt;7;"Complexo";"Médio")))</t>
      </text>
    </comment>
    <comment authorId="0" ref="B8">
      <text>
        <t xml:space="preserve">======
ID#AAABtRWpGw0
UC Médio    (2025-10-28 19:14:00)
Tem de 3 a 5 Entidades.</t>
      </text>
    </comment>
  </commentList>
  <extLst>
    <ext uri="GoogleSheetsCustomDataVersion2">
      <go:sheetsCustomData xmlns:go="http://customooxmlschemas.google.com/" r:id="rId1" roundtripDataSignature="AMtx7mjb4VRuumGpR35+JFT771HAMqTVDw=="/>
    </ext>
  </extLst>
</comments>
</file>

<file path=xl/sharedStrings.xml><?xml version="1.0" encoding="utf-8"?>
<sst xmlns="http://schemas.openxmlformats.org/spreadsheetml/2006/main" count="202" uniqueCount="179">
  <si>
    <t>Estimativa de Esforço de Projeto baseado em Pontos de Caso de Uso (vs 1.0)</t>
  </si>
  <si>
    <t>Projeto:</t>
  </si>
  <si>
    <t>Estante Digital</t>
  </si>
  <si>
    <t>Data:</t>
  </si>
  <si>
    <t>Vs. do Documento:</t>
  </si>
  <si>
    <t>1.0</t>
  </si>
  <si>
    <t>Esforço por fases</t>
  </si>
  <si>
    <t>Horas</t>
  </si>
  <si>
    <t>%</t>
  </si>
  <si>
    <t>Resultado da Estimativa</t>
  </si>
  <si>
    <t>Fase de Prospecção</t>
  </si>
  <si>
    <t>Total de Pontos de Caso de Uso (tamanho)</t>
  </si>
  <si>
    <t>Fase de Análise</t>
  </si>
  <si>
    <t>Homens/hora por RFS</t>
  </si>
  <si>
    <t>Fase de Projeto</t>
  </si>
  <si>
    <t>Fase de Planejamento</t>
  </si>
  <si>
    <t>Fase de Desenvolvimento</t>
  </si>
  <si>
    <t>Processo de Monitoramento e Controle</t>
  </si>
  <si>
    <t>Fase de Fechamento</t>
  </si>
  <si>
    <t>Processo Controle de mudanças</t>
  </si>
  <si>
    <t>Total de horas do Projeto</t>
  </si>
  <si>
    <t>Instruções para realizar a estimativa do Projeto: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</si>
  <si>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</si>
  <si>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</si>
  <si>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</si>
  <si>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</si>
  <si>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</si>
  <si>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 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</si>
  <si>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</si>
  <si>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</si>
  <si>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</si>
  <si>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</si>
  <si>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</si>
  <si>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</si>
  <si>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</si>
  <si>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</si>
  <si>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</si>
  <si>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</si>
  <si>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Bibliotecário</t>
  </si>
  <si>
    <t>Administrador</t>
  </si>
  <si>
    <t>Usuários / Leitores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</si>
  <si>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</si>
  <si>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</si>
  <si>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</si>
  <si>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</si>
  <si>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</si>
  <si>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</si>
  <si>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</si>
  <si>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</si>
  <si>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Entidades (opcional)</t>
  </si>
  <si>
    <t>[RFS01]</t>
  </si>
  <si>
    <t>Incluir Usuário</t>
  </si>
  <si>
    <t>Usuário</t>
  </si>
  <si>
    <t>[RFS02]</t>
  </si>
  <si>
    <t>Consultar Usuário</t>
  </si>
  <si>
    <t>[RFS03]</t>
  </si>
  <si>
    <t>Editar Usuário</t>
  </si>
  <si>
    <t>[RFS04]</t>
  </si>
  <si>
    <t>Excluir Usuário</t>
  </si>
  <si>
    <t>[RFS05]</t>
  </si>
  <si>
    <t>Incluir Livro</t>
  </si>
  <si>
    <t>Livro, Autor, Editora</t>
  </si>
  <si>
    <t>[RFS06]</t>
  </si>
  <si>
    <t>Consultar Livro</t>
  </si>
  <si>
    <t>Livro, Autor, Editora, Avaliação</t>
  </si>
  <si>
    <t>[RFS07]</t>
  </si>
  <si>
    <t>Editar Livro</t>
  </si>
  <si>
    <t>[RFS08]</t>
  </si>
  <si>
    <t>Excluir Livro</t>
  </si>
  <si>
    <t>Livro</t>
  </si>
  <si>
    <t>[RFS09]</t>
  </si>
  <si>
    <t>Inserir Empréstimo</t>
  </si>
  <si>
    <t>Empréstimo, Usuário, Livro</t>
  </si>
  <si>
    <t>[RFS10]</t>
  </si>
  <si>
    <t>Consultar Empréstimo</t>
  </si>
  <si>
    <t>[RFS11]</t>
  </si>
  <si>
    <t>Editar Empréstimo</t>
  </si>
  <si>
    <t>[RFS12]</t>
  </si>
  <si>
    <t>Excluir Empréstimo</t>
  </si>
  <si>
    <t>Empréstimo</t>
  </si>
  <si>
    <t>[RFS13]</t>
  </si>
  <si>
    <t>Inserir Multa</t>
  </si>
  <si>
    <t xml:space="preserve">Multa, Empréstimo, Usuário, Bibliotecário </t>
  </si>
  <si>
    <t>[RFS14]</t>
  </si>
  <si>
    <t>Consultar Multa</t>
  </si>
  <si>
    <t>[RFS15]</t>
  </si>
  <si>
    <t>Editar Multa</t>
  </si>
  <si>
    <t>Multa, Empréstimo</t>
  </si>
  <si>
    <t>[RFS16]</t>
  </si>
  <si>
    <t>Excluir Multa</t>
  </si>
  <si>
    <t>Multa</t>
  </si>
  <si>
    <t>[RFS17]</t>
  </si>
  <si>
    <t>Inserir Avaliação</t>
  </si>
  <si>
    <t>Avaliação, Livro, Usuário</t>
  </si>
  <si>
    <t>[RFS18]</t>
  </si>
  <si>
    <t>Consultar Avaliação</t>
  </si>
  <si>
    <t>[RFS19]</t>
  </si>
  <si>
    <t>Editar Avaliação</t>
  </si>
  <si>
    <t>Avaliação, Livro</t>
  </si>
  <si>
    <t>[RFS20]</t>
  </si>
  <si>
    <t>Excluir Avaliação</t>
  </si>
  <si>
    <t>Avaliação</t>
  </si>
  <si>
    <t>[RFS21]</t>
  </si>
  <si>
    <t>Emitir reatório de empréstimos por período</t>
  </si>
  <si>
    <t>Empréstimo, Usuário, Livro, Autor, Editora</t>
  </si>
  <si>
    <t>[RFS22]</t>
  </si>
  <si>
    <t>Emitir relatório de multas a receber</t>
  </si>
  <si>
    <t>Multa, Usuário, Empréstimo</t>
  </si>
  <si>
    <t>[RFS23]</t>
  </si>
  <si>
    <t>Emitir relatório de avaliações por período</t>
  </si>
  <si>
    <t>Avaliação, Livro, Usuário, Autor, Editora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</si>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</sst>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%"/>
    <numFmt numFmtId="166" formatCode="0.0"/>
    <numFmt numFmtId="167" formatCode="&quot;UC&quot;00#"/>
  </numFmts>
  <fonts count="15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sz val="10.0"/>
      <color theme="1"/>
      <name val="Arial"/>
    </font>
    <font>
      <u/>
      <sz val="10.0"/>
      <color theme="1"/>
      <name val="Arial"/>
    </font>
    <font>
      <color theme="1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1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</fills>
  <borders count="145">
    <border/>
    <border>
      <left style="double">
        <color rgb="FF741B47"/>
      </left>
      <top style="double">
        <color rgb="FF741B47"/>
      </top>
    </border>
    <border>
      <top style="double">
        <color rgb="FF741B47"/>
      </top>
    </border>
    <border>
      <right style="double">
        <color rgb="FF741B47"/>
      </right>
      <top style="double">
        <color rgb="FF741B47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double">
        <color rgb="FF741B47"/>
      </left>
    </border>
    <border>
      <right style="double">
        <color rgb="FF741B47"/>
      </right>
    </border>
    <border>
      <left style="double">
        <color rgb="FF741B47"/>
      </left>
      <bottom style="double">
        <color rgb="FF741B47"/>
      </bottom>
    </border>
    <border>
      <bottom style="double">
        <color rgb="FF741B47"/>
      </bottom>
    </border>
    <border>
      <right style="double">
        <color rgb="FF741B47"/>
      </right>
      <bottom style="double">
        <color rgb="FF741B47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double">
        <color rgb="FF741B47"/>
      </left>
      <top style="double">
        <color rgb="FF741B47"/>
      </top>
      <bottom style="double">
        <color rgb="FFFFFFFF"/>
      </bottom>
    </border>
    <border>
      <right style="double">
        <color rgb="FFFFFFFF"/>
      </right>
      <top style="double">
        <color rgb="FF741B47"/>
      </top>
      <bottom style="double">
        <color rgb="FFFFFFFF"/>
      </bottom>
    </border>
    <border>
      <left style="double">
        <color rgb="FFFFFFFF"/>
      </left>
      <top style="double">
        <color rgb="FF741B47"/>
      </top>
      <bottom style="double">
        <color rgb="FFFFFFFF"/>
      </bottom>
    </border>
    <border>
      <top style="double">
        <color rgb="FF741B47"/>
      </top>
      <bottom style="double">
        <color rgb="FFFFFFFF"/>
      </bottom>
    </border>
    <border>
      <left style="thin">
        <color rgb="FFFFFFFF"/>
      </left>
      <right style="double">
        <color rgb="FF741B47"/>
      </right>
      <top style="double">
        <color rgb="FF741B47"/>
      </top>
    </border>
    <border>
      <left style="double">
        <color rgb="FF741B47"/>
      </left>
      <top style="double">
        <color rgb="FFFFFFFF"/>
      </top>
      <bottom style="double">
        <color rgb="FFFFFFFF"/>
      </bottom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top style="double">
        <color rgb="FFFFFFFF"/>
      </top>
      <bottom style="double">
        <color rgb="FFFFFFFF"/>
      </bottom>
    </border>
    <border>
      <left style="thin">
        <color rgb="FFFFFFFF"/>
      </left>
      <right style="double">
        <color rgb="FF741B47"/>
      </right>
    </border>
    <border>
      <left style="double">
        <color rgb="FF741B47"/>
      </left>
      <top style="double">
        <color rgb="FFFFFFFF"/>
      </top>
      <bottom style="double">
        <color rgb="FF741B47"/>
      </bottom>
    </border>
    <border>
      <right style="double">
        <color rgb="FFFFFFFF"/>
      </right>
      <top style="double">
        <color rgb="FFFFFFFF"/>
      </top>
      <bottom style="double">
        <color rgb="FF741B47"/>
      </bottom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741B47"/>
      </bottom>
    </border>
    <border>
      <left style="double">
        <color rgb="FFFFFFFF"/>
      </left>
      <top style="double">
        <color rgb="FFFFFFFF"/>
      </top>
      <bottom style="double">
        <color rgb="FF741B47"/>
      </bottom>
    </border>
    <border>
      <left style="thin">
        <color rgb="FFFFFFFF"/>
      </left>
      <right style="double">
        <color rgb="FF741B47"/>
      </right>
      <bottom style="double">
        <color rgb="FF741B47"/>
      </bottom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bottom style="thin">
        <color rgb="FFD9D9D9"/>
      </bottom>
    </border>
    <border>
      <left style="double">
        <color rgb="FF741B47"/>
      </left>
      <top style="double">
        <color rgb="FF741B47"/>
      </top>
      <bottom style="medium">
        <color rgb="FF000000"/>
      </bottom>
    </border>
    <border>
      <top style="double">
        <color rgb="FF741B47"/>
      </top>
      <bottom style="medium">
        <color rgb="FF000000"/>
      </bottom>
    </border>
    <border>
      <right style="thin">
        <color rgb="FF000000"/>
      </right>
      <top style="double">
        <color rgb="FF741B47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741B47"/>
      </top>
      <bottom style="medium">
        <color rgb="FF000000"/>
      </bottom>
    </border>
    <border>
      <left style="thin">
        <color rgb="FF000000"/>
      </left>
      <right style="double">
        <color rgb="FF741B47"/>
      </right>
      <top style="double">
        <color rgb="FF741B47"/>
      </top>
      <bottom style="medium">
        <color rgb="FF000000"/>
      </bottom>
    </border>
    <border>
      <right style="double">
        <color rgb="FF741B47"/>
      </right>
      <top style="double">
        <color rgb="FF741B47"/>
      </top>
      <bottom style="medium">
        <color rgb="FF000000"/>
      </bottom>
    </border>
    <border>
      <left style="double">
        <color rgb="FF741B47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double">
        <color rgb="FF741B47"/>
      </right>
      <top style="medium">
        <color rgb="FF000000"/>
      </top>
      <bottom style="thin">
        <color rgb="FF000000"/>
      </bottom>
    </border>
    <border>
      <left style="double">
        <color rgb="FF741B47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741B47"/>
      </right>
      <top style="medium">
        <color rgb="FF000000"/>
      </top>
      <bottom style="thin">
        <color rgb="FF000000"/>
      </bottom>
    </border>
    <border>
      <left style="double">
        <color rgb="FF741B47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double">
        <color rgb="FF741B47"/>
      </right>
      <bottom style="thin">
        <color rgb="FF000000"/>
      </bottom>
    </border>
    <border>
      <left style="double">
        <color rgb="FF741B47"/>
      </left>
      <top style="thin">
        <color rgb="FF000000"/>
      </top>
      <bottom style="double">
        <color rgb="FF741B47"/>
      </bottom>
    </border>
    <border>
      <top style="thin">
        <color rgb="FF000000"/>
      </top>
      <bottom style="double">
        <color rgb="FF741B47"/>
      </bottom>
    </border>
    <border>
      <right style="thin">
        <color rgb="FF000000"/>
      </right>
      <top style="thin">
        <color rgb="FF000000"/>
      </top>
      <bottom style="double">
        <color rgb="FF741B47"/>
      </bottom>
    </border>
    <border>
      <left style="thin">
        <color rgb="FF000000"/>
      </left>
      <right style="double">
        <color rgb="FF741B47"/>
      </right>
      <top style="thin">
        <color rgb="FF000000"/>
      </top>
      <bottom style="double">
        <color rgb="FF741B47"/>
      </bottom>
    </border>
    <border>
      <left style="double">
        <color rgb="FF741B47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741B47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741B47"/>
      </bottom>
    </border>
    <border>
      <left style="medium">
        <color rgb="FF000000"/>
      </left>
      <right style="double">
        <color rgb="FF741B47"/>
      </right>
      <top style="thin">
        <color rgb="FF000000"/>
      </top>
      <bottom style="double">
        <color rgb="FF741B47"/>
      </bottom>
    </border>
    <border>
      <left style="double">
        <color rgb="FF741B47"/>
      </left>
      <top style="double">
        <color rgb="FF741B47"/>
      </top>
      <bottom style="medium">
        <color rgb="FF741B47"/>
      </bottom>
    </border>
    <border>
      <top style="double">
        <color rgb="FF741B47"/>
      </top>
      <bottom style="medium">
        <color rgb="FF741B47"/>
      </bottom>
    </border>
    <border>
      <right style="double">
        <color rgb="FF741B47"/>
      </right>
      <top style="double">
        <color rgb="FF741B47"/>
      </top>
      <bottom style="medium">
        <color rgb="FF741B47"/>
      </bottom>
    </border>
    <border>
      <left style="double">
        <color rgb="FF741B47"/>
      </left>
      <bottom style="medium">
        <color rgb="FFFFFFFF"/>
      </bottom>
    </border>
    <border>
      <bottom style="medium">
        <color rgb="FFFFFFFF"/>
      </bottom>
    </border>
    <border>
      <right style="thin">
        <color rgb="FFFFFFFF"/>
      </right>
      <bottom style="medium">
        <color rgb="FFFFFFFF"/>
      </bottom>
    </border>
    <border>
      <left style="double">
        <color rgb="FF741B47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thin">
        <color rgb="FFFFFFFF"/>
      </right>
      <top style="medium">
        <color rgb="FFFFFFFF"/>
      </top>
      <bottom style="medium">
        <color rgb="FFFFFFFF"/>
      </bottom>
    </border>
    <border>
      <left style="double">
        <color rgb="FF741B47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double">
        <color rgb="FF741B47"/>
      </left>
      <top style="medium">
        <color rgb="FFFFFFFF"/>
      </top>
      <bottom style="double">
        <color rgb="FF741B47"/>
      </bottom>
    </border>
    <border>
      <top style="medium">
        <color rgb="FFFFFFFF"/>
      </top>
      <bottom style="double">
        <color rgb="FF741B47"/>
      </bottom>
    </border>
    <border>
      <right style="thin">
        <color rgb="FFFFFFFF"/>
      </right>
      <top style="medium">
        <color rgb="FFFFFFFF"/>
      </top>
      <bottom style="double">
        <color rgb="FF741B47"/>
      </bottom>
    </border>
    <border>
      <top/>
    </border>
    <border>
      <left style="dotted">
        <color rgb="FF741B47"/>
      </left>
      <right style="medium">
        <color rgb="FFFFFFFF"/>
      </right>
      <top style="dotted">
        <color rgb="FF741B47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dotted">
        <color rgb="FF741B47"/>
      </top>
      <bottom style="medium">
        <color rgb="FFFFFFFF"/>
      </bottom>
    </border>
    <border>
      <left style="medium">
        <color rgb="FFFFFFFF"/>
      </left>
      <right style="dotted">
        <color rgb="FF741B47"/>
      </right>
      <top style="dotted">
        <color rgb="FF741B47"/>
      </top>
      <bottom style="medium">
        <color rgb="FFFFFFFF"/>
      </bottom>
    </border>
    <border>
      <left style="dotted">
        <color rgb="FF741B47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dotted">
        <color rgb="FF741B47"/>
      </right>
      <top style="medium">
        <color rgb="FFFFFFFF"/>
      </top>
      <bottom style="medium">
        <color rgb="FFFFFFFF"/>
      </bottom>
    </border>
    <border>
      <left style="dotted">
        <color rgb="FF741B47"/>
      </left>
      <top style="medium">
        <color rgb="FFFFFFFF"/>
      </top>
      <bottom style="medium">
        <color rgb="FFFFFFFF"/>
      </bottom>
    </border>
    <border>
      <left style="double">
        <color rgb="FF741B47"/>
      </left>
      <right style="thin">
        <color rgb="FF741B47"/>
      </right>
      <top style="double">
        <color rgb="FF741B47"/>
      </top>
      <bottom style="medium">
        <color rgb="FF741B47"/>
      </bottom>
    </border>
    <border>
      <left style="thin">
        <color rgb="FF741B47"/>
      </left>
      <right style="thin">
        <color rgb="FF741B47"/>
      </right>
      <top style="double">
        <color rgb="FF741B47"/>
      </top>
      <bottom style="medium">
        <color rgb="FF741B47"/>
      </bottom>
    </border>
    <border>
      <left style="thin">
        <color rgb="FF741B47"/>
      </left>
      <right style="double">
        <color rgb="FF741B47"/>
      </right>
      <top style="double">
        <color rgb="FF741B47"/>
      </top>
      <bottom style="medium">
        <color rgb="FF741B47"/>
      </bottom>
    </border>
    <border>
      <right style="dotted">
        <color rgb="FF741B47"/>
      </right>
      <top style="medium">
        <color rgb="FFFFFFFF"/>
      </top>
      <bottom style="medium">
        <color rgb="FFFFFFFF"/>
      </bottom>
    </border>
    <border>
      <left style="double">
        <color rgb="FF741B47"/>
      </left>
      <right style="thin">
        <color rgb="FF741B47"/>
      </right>
      <bottom style="thin">
        <color rgb="FF741B47"/>
      </bottom>
    </border>
    <border>
      <left style="thin">
        <color rgb="FF741B47"/>
      </left>
      <right style="thin">
        <color rgb="FF741B47"/>
      </right>
      <bottom style="thin">
        <color rgb="FF741B47"/>
      </bottom>
    </border>
    <border>
      <left style="thin">
        <color rgb="FF741B47"/>
      </left>
      <right style="double">
        <color rgb="FF741B47"/>
      </right>
      <bottom style="thin">
        <color rgb="FF741B47"/>
      </bottom>
    </border>
    <border>
      <left style="double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right style="double">
        <color rgb="FF741B47"/>
      </right>
      <top style="thin">
        <color rgb="FF741B47"/>
      </top>
      <bottom style="thin">
        <color rgb="FF741B47"/>
      </bottom>
    </border>
    <border>
      <left style="double">
        <color rgb="FF741B47"/>
      </left>
      <right style="thin">
        <color rgb="FF741B47"/>
      </right>
      <top style="thin">
        <color rgb="FF741B47"/>
      </top>
      <bottom style="double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</border>
    <border>
      <left style="thin">
        <color rgb="FF741B47"/>
      </left>
      <right style="double">
        <color rgb="FF741B47"/>
      </right>
      <top style="thin">
        <color rgb="FF741B47"/>
      </top>
    </border>
    <border>
      <left style="double">
        <color rgb="FF741B47"/>
      </left>
      <right style="thin">
        <color rgb="FF741B47"/>
      </right>
      <top style="medium">
        <color rgb="FF741B47"/>
      </top>
      <bottom style="double">
        <color rgb="FF741B47"/>
      </bottom>
    </border>
    <border>
      <left style="thin">
        <color rgb="FF741B47"/>
      </left>
      <right style="double">
        <color rgb="FF741B47"/>
      </right>
      <top style="medium">
        <color rgb="FF741B47"/>
      </top>
      <bottom style="double">
        <color rgb="FF741B47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double">
        <color rgb="FF741B47"/>
      </left>
      <right style="thin">
        <color rgb="FF741B47"/>
      </right>
      <top style="thin">
        <color rgb="FF741B47"/>
      </top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dotted">
        <color rgb="FF741B47"/>
      </left>
      <top style="medium">
        <color rgb="FFFFFFFF"/>
      </top>
      <bottom style="dotted">
        <color rgb="FF741B47"/>
      </bottom>
    </border>
    <border>
      <top style="medium">
        <color rgb="FFFFFFFF"/>
      </top>
      <bottom style="dotted">
        <color rgb="FF741B47"/>
      </bottom>
    </border>
    <border>
      <right style="medium">
        <color rgb="FFFFFFFF"/>
      </right>
      <top style="medium">
        <color rgb="FFFFFFFF"/>
      </top>
      <bottom style="dotted">
        <color rgb="FF741B47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dotted">
        <color rgb="FF741B47"/>
      </bottom>
    </border>
    <border>
      <left style="medium">
        <color rgb="FFFFFFFF"/>
      </left>
      <right style="dotted">
        <color rgb="FF741B47"/>
      </right>
      <top style="medium">
        <color rgb="FFFFFFFF"/>
      </top>
      <bottom style="dotted">
        <color rgb="FF741B47"/>
      </bottom>
    </border>
    <border>
      <right/>
      <top/>
      <bottom/>
    </border>
    <border>
      <left/>
      <right/>
      <top/>
      <bottom/>
    </border>
    <border>
      <left style="medium">
        <color rgb="FF741B47"/>
      </left>
      <right style="medium">
        <color rgb="FFFFFFFF"/>
      </right>
      <top style="medium">
        <color rgb="FF741B47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741B47"/>
      </top>
      <bottom style="medium">
        <color rgb="FFFFFFFF"/>
      </bottom>
    </border>
    <border>
      <left style="medium">
        <color rgb="FF741B47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741B47"/>
      </bottom>
    </border>
    <border>
      <left style="medium">
        <color rgb="FF741B47"/>
      </left>
      <right style="medium">
        <color rgb="FF741B47"/>
      </right>
      <top style="medium">
        <color rgb="FFFFFFFF"/>
      </top>
      <bottom style="medium">
        <color rgb="FFFFFFFF"/>
      </bottom>
    </border>
    <border>
      <right style="thin">
        <color rgb="FF741B47"/>
      </right>
      <bottom style="medium">
        <color rgb="FF741B47"/>
      </bottom>
    </border>
    <border>
      <left style="thin">
        <color rgb="FF741B47"/>
      </left>
      <right style="thin">
        <color rgb="FF741B47"/>
      </right>
      <bottom style="medium">
        <color rgb="FF741B47"/>
      </bottom>
    </border>
    <border>
      <left style="thin">
        <color rgb="FF741B47"/>
      </left>
      <bottom style="medium">
        <color rgb="FF741B47"/>
      </bottom>
    </border>
    <border>
      <left style="medium">
        <color rgb="FF741B47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741B47"/>
      </right>
      <bottom style="thin">
        <color rgb="FF741B47"/>
      </bottom>
    </border>
    <border>
      <left style="thin">
        <color rgb="FF741B47"/>
      </left>
      <bottom style="thin">
        <color rgb="FF741B47"/>
      </bottom>
    </border>
    <border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top style="thin">
        <color rgb="FF741B47"/>
      </top>
      <bottom style="thin">
        <color rgb="FF741B47"/>
      </bottom>
    </border>
    <border>
      <left style="medium">
        <color rgb="FF741B47"/>
      </left>
      <right style="medium">
        <color rgb="FF741B47"/>
      </right>
      <top style="medium">
        <color rgb="FFFFFFFF"/>
      </top>
    </border>
    <border>
      <right style="thin">
        <color rgb="FF741B47"/>
      </right>
      <top style="thin">
        <color rgb="FF741B47"/>
      </top>
      <bottom style="double">
        <color rgb="FF741B47"/>
      </bottom>
    </border>
    <border>
      <left style="thin">
        <color rgb="FF741B47"/>
      </left>
      <top style="thin">
        <color rgb="FF741B47"/>
      </top>
    </border>
    <border>
      <left style="medium">
        <color rgb="FF741B47"/>
      </left>
      <right style="medium">
        <color rgb="FF741B47"/>
      </right>
      <top style="medium">
        <color rgb="FF741B47"/>
      </top>
      <bottom style="medium">
        <color rgb="FF741B47"/>
      </bottom>
    </border>
    <border>
      <top style="medium">
        <color rgb="FF741B47"/>
      </top>
      <bottom style="double">
        <color rgb="FF741B47"/>
      </bottom>
    </border>
    <border>
      <left/>
      <right style="medium">
        <color rgb="FFFFFFFF"/>
      </right>
    </border>
    <border>
      <left style="medium">
        <color rgb="FFFFFFFF"/>
      </left>
      <right/>
    </border>
    <border>
      <right style="medium">
        <color rgb="FFFFFFFF"/>
      </right>
    </border>
    <border>
      <left style="thin">
        <color rgb="FF741B47"/>
      </left>
      <right style="double">
        <color rgb="FF741B47"/>
      </right>
      <bottom style="medium">
        <color rgb="FF741B47"/>
      </bottom>
    </border>
    <border>
      <left style="thin">
        <color rgb="FF741B47"/>
      </left>
      <right style="thin">
        <color rgb="FF741B47"/>
      </right>
      <top style="medium">
        <color rgb="FF741B47"/>
      </top>
      <bottom style="double">
        <color rgb="FF741B47"/>
      </bottom>
    </border>
    <border>
      <left style="double">
        <color rgb="FF741B47"/>
      </left>
      <right style="thin">
        <color rgb="FF741B47"/>
      </right>
      <bottom style="medium">
        <color rgb="FF741B47"/>
      </bottom>
    </border>
    <border>
      <left style="double">
        <color rgb="FF741B47"/>
      </left>
      <top style="medium">
        <color rgb="FF741B47"/>
      </top>
      <bottom style="double">
        <color rgb="FF741B47"/>
      </bottom>
    </border>
    <border>
      <right style="thin">
        <color rgb="FF741B47"/>
      </right>
      <top style="medium">
        <color rgb="FF741B47"/>
      </top>
      <bottom style="double">
        <color rgb="FF741B47"/>
      </bottom>
    </border>
    <border>
      <bottom style="medium">
        <color rgb="FF741B47"/>
      </bottom>
    </border>
    <border>
      <bottom style="thin">
        <color rgb="FF741B47"/>
      </bottom>
    </border>
    <border>
      <top style="thin">
        <color rgb="FF741B47"/>
      </top>
      <bottom style="thin">
        <color rgb="FF741B47"/>
      </bottom>
    </border>
    <border>
      <top style="thin">
        <color rgb="FF741B47"/>
      </top>
    </border>
    <border>
      <right style="thin">
        <color rgb="FF741B47"/>
      </right>
      <top style="thin">
        <color rgb="FF741B47"/>
      </top>
    </border>
    <border>
      <left style="double">
        <color rgb="FF741B47"/>
      </left>
      <top style="thin">
        <color rgb="FF741B47"/>
      </top>
      <bottom style="thin">
        <color rgb="FF741B47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1" numFmtId="0" xfId="0" applyAlignment="1" applyBorder="1" applyFill="1" applyFont="1">
      <alignment horizontal="left" shrinkToFit="0" vertical="center" wrapText="0"/>
    </xf>
    <xf borderId="13" fillId="0" fontId="2" numFmtId="0" xfId="0" applyBorder="1" applyFont="1"/>
    <xf borderId="14" fillId="3" fontId="5" numFmtId="0" xfId="0" applyAlignment="1" applyBorder="1" applyFont="1">
      <alignment horizontal="left" readingOrder="0" shrinkToFit="0" vertical="center" wrapText="0"/>
    </xf>
    <xf borderId="15" fillId="0" fontId="2" numFmtId="0" xfId="0" applyBorder="1" applyFont="1"/>
    <xf borderId="14" fillId="0" fontId="3" numFmtId="0" xfId="0" applyBorder="1" applyFont="1"/>
    <xf borderId="16" fillId="0" fontId="3" numFmtId="0" xfId="0" applyBorder="1" applyFont="1"/>
    <xf borderId="17" fillId="3" fontId="1" numFmtId="0" xfId="0" applyAlignment="1" applyBorder="1" applyFont="1">
      <alignment horizontal="left" shrinkToFit="0" vertical="center" wrapText="0"/>
    </xf>
    <xf borderId="18" fillId="0" fontId="2" numFmtId="0" xfId="0" applyBorder="1" applyFont="1"/>
    <xf borderId="19" fillId="3" fontId="5" numFmtId="0" xfId="0" applyAlignment="1" applyBorder="1" applyFont="1">
      <alignment horizontal="left" readingOrder="0" shrinkToFit="0" vertical="center" wrapText="0"/>
    </xf>
    <xf borderId="20" fillId="0" fontId="2" numFmtId="0" xfId="0" applyBorder="1" applyFont="1"/>
    <xf borderId="19" fillId="0" fontId="3" numFmtId="0" xfId="0" applyBorder="1" applyFont="1"/>
    <xf borderId="21" fillId="0" fontId="2" numFmtId="0" xfId="0" applyBorder="1" applyFont="1"/>
    <xf borderId="22" fillId="3" fontId="1" numFmtId="0" xfId="0" applyAlignment="1" applyBorder="1" applyFont="1">
      <alignment horizontal="left" shrinkToFit="0" vertical="bottom" wrapText="0"/>
    </xf>
    <xf borderId="23" fillId="0" fontId="2" numFmtId="0" xfId="0" applyBorder="1" applyFont="1"/>
    <xf borderId="24" fillId="3" fontId="5" numFmtId="164" xfId="0" applyAlignment="1" applyBorder="1" applyFont="1" applyNumberFormat="1">
      <alignment horizontal="left" readingOrder="0" shrinkToFit="0" vertical="center" wrapText="0"/>
    </xf>
    <xf borderId="24" fillId="3" fontId="5" numFmtId="0" xfId="0" applyAlignment="1" applyBorder="1" applyFont="1">
      <alignment horizontal="left" shrinkToFit="0" vertical="center" wrapText="0"/>
    </xf>
    <xf borderId="25" fillId="3" fontId="1" numFmtId="0" xfId="0" applyAlignment="1" applyBorder="1" applyFont="1">
      <alignment horizontal="left" shrinkToFit="0" vertical="center" wrapText="0"/>
    </xf>
    <xf borderId="24" fillId="3" fontId="5" numFmtId="0" xfId="0" applyAlignment="1" applyBorder="1" applyFont="1">
      <alignment horizontal="left" readingOrder="0" shrinkToFit="0" vertical="center" wrapText="0"/>
    </xf>
    <xf borderId="25" fillId="0" fontId="3" numFmtId="0" xfId="0" applyBorder="1" applyFont="1"/>
    <xf borderId="26" fillId="0" fontId="2" numFmtId="0" xfId="0" applyBorder="1" applyFont="1"/>
    <xf borderId="0" fillId="0" fontId="6" numFmtId="0" xfId="0" applyAlignment="1" applyFont="1">
      <alignment horizontal="left"/>
    </xf>
    <xf borderId="27" fillId="0" fontId="6" numFmtId="0" xfId="0" applyAlignment="1" applyBorder="1" applyFont="1">
      <alignment horizontal="left"/>
    </xf>
    <xf borderId="28" fillId="0" fontId="3" numFmtId="0" xfId="0" applyBorder="1" applyFont="1"/>
    <xf borderId="29" fillId="0" fontId="3" numFmtId="0" xfId="0" applyBorder="1" applyFont="1"/>
    <xf borderId="30" fillId="0" fontId="6" numFmtId="0" xfId="0" applyAlignment="1" applyBorder="1" applyFont="1">
      <alignment horizontal="left"/>
    </xf>
    <xf borderId="31" fillId="2" fontId="7" numFmtId="0" xfId="0" applyAlignment="1" applyBorder="1" applyFont="1">
      <alignment horizontal="left" shrinkToFit="0" vertical="bottom" wrapText="0"/>
    </xf>
    <xf borderId="32" fillId="0" fontId="2" numFmtId="0" xfId="0" applyBorder="1" applyFont="1"/>
    <xf borderId="33" fillId="0" fontId="2" numFmtId="0" xfId="0" applyBorder="1" applyFont="1"/>
    <xf borderId="34" fillId="2" fontId="7" numFmtId="0" xfId="0" applyAlignment="1" applyBorder="1" applyFont="1">
      <alignment horizontal="center" shrinkToFit="0" vertical="bottom" wrapText="0"/>
    </xf>
    <xf borderId="35" fillId="2" fontId="7" numFmtId="0" xfId="0" applyAlignment="1" applyBorder="1" applyFont="1">
      <alignment horizontal="center" shrinkToFit="0" vertical="bottom" wrapText="0"/>
    </xf>
    <xf borderId="31" fillId="2" fontId="7" numFmtId="0" xfId="0" applyAlignment="1" applyBorder="1" applyFont="1">
      <alignment horizontal="center" shrinkToFit="0" vertical="bottom" wrapText="0"/>
    </xf>
    <xf borderId="36" fillId="0" fontId="2" numFmtId="0" xfId="0" applyBorder="1" applyFont="1"/>
    <xf borderId="37" fillId="3" fontId="4" numFmtId="0" xfId="0" applyAlignment="1" applyBorder="1" applyFont="1">
      <alignment horizontal="left" shrinkToFit="0" vertical="bottom" wrapText="0"/>
    </xf>
    <xf borderId="38" fillId="0" fontId="2" numFmtId="0" xfId="0" applyBorder="1" applyFont="1"/>
    <xf borderId="39" fillId="0" fontId="2" numFmtId="0" xfId="0" applyBorder="1" applyFont="1"/>
    <xf borderId="40" fillId="3" fontId="4" numFmtId="2" xfId="0" applyAlignment="1" applyBorder="1" applyFont="1" applyNumberFormat="1">
      <alignment horizontal="center" shrinkToFit="0" vertical="bottom" wrapText="0"/>
    </xf>
    <xf borderId="41" fillId="0" fontId="4" numFmtId="165" xfId="0" applyAlignment="1" applyBorder="1" applyFont="1" applyNumberFormat="1">
      <alignment horizontal="center" readingOrder="0" shrinkToFit="0" vertical="bottom" wrapText="0"/>
    </xf>
    <xf borderId="11" fillId="3" fontId="7" numFmtId="0" xfId="0" applyAlignment="1" applyBorder="1" applyFont="1">
      <alignment shrinkToFit="0" vertical="bottom" wrapText="0"/>
    </xf>
    <xf borderId="42" fillId="3" fontId="4" numFmtId="0" xfId="0" applyAlignment="1" applyBorder="1" applyFont="1">
      <alignment horizontal="left" readingOrder="0" shrinkToFit="0" vertical="bottom" wrapText="0"/>
    </xf>
    <xf borderId="43" fillId="0" fontId="2" numFmtId="0" xfId="0" applyBorder="1" applyFont="1"/>
    <xf borderId="44" fillId="0" fontId="2" numFmtId="0" xfId="0" applyBorder="1" applyFont="1"/>
    <xf borderId="45" fillId="3" fontId="4" numFmtId="0" xfId="0" applyAlignment="1" applyBorder="1" applyFont="1">
      <alignment horizontal="center" shrinkToFit="0" vertical="bottom" wrapText="0"/>
    </xf>
    <xf borderId="46" fillId="3" fontId="4" numFmtId="0" xfId="0" applyAlignment="1" applyBorder="1" applyFont="1">
      <alignment horizontal="left" shrinkToFit="0" vertical="bottom" wrapText="0"/>
    </xf>
    <xf borderId="47" fillId="0" fontId="2" numFmtId="0" xfId="0" applyBorder="1" applyFont="1"/>
    <xf borderId="48" fillId="0" fontId="2" numFmtId="0" xfId="0" applyBorder="1" applyFont="1"/>
    <xf borderId="49" fillId="3" fontId="4" numFmtId="2" xfId="0" applyAlignment="1" applyBorder="1" applyFont="1" applyNumberFormat="1">
      <alignment horizontal="center" shrinkToFit="0" vertical="bottom" wrapText="0"/>
    </xf>
    <xf borderId="50" fillId="0" fontId="4" numFmtId="165" xfId="0" applyAlignment="1" applyBorder="1" applyFont="1" applyNumberFormat="1">
      <alignment horizontal="center" readingOrder="0" shrinkToFit="0" vertical="bottom" wrapText="0"/>
    </xf>
    <xf borderId="11" fillId="3" fontId="4" numFmtId="0" xfId="0" applyAlignment="1" applyBorder="1" applyFont="1">
      <alignment shrinkToFit="0" vertical="bottom" wrapText="0"/>
    </xf>
    <xf borderId="51" fillId="3" fontId="4" numFmtId="0" xfId="0" applyAlignment="1" applyBorder="1" applyFont="1">
      <alignment horizontal="left" shrinkToFit="0" vertical="bottom" wrapText="0"/>
    </xf>
    <xf borderId="52" fillId="0" fontId="2" numFmtId="0" xfId="0" applyBorder="1" applyFont="1"/>
    <xf borderId="53" fillId="0" fontId="2" numFmtId="0" xfId="0" applyBorder="1" applyFont="1"/>
    <xf borderId="54" fillId="3" fontId="4" numFmtId="166" xfId="0" applyAlignment="1" applyBorder="1" applyFont="1" applyNumberFormat="1">
      <alignment horizontal="center" shrinkToFit="0" vertical="bottom" wrapText="0"/>
    </xf>
    <xf borderId="55" fillId="3" fontId="4" numFmtId="0" xfId="0" applyAlignment="1" applyBorder="1" applyFont="1">
      <alignment horizontal="left" shrinkToFit="0" vertical="bottom" wrapText="0"/>
    </xf>
    <xf borderId="56" fillId="0" fontId="2" numFmtId="0" xfId="0" applyBorder="1" applyFont="1"/>
    <xf borderId="57" fillId="0" fontId="2" numFmtId="0" xfId="0" applyBorder="1" applyFont="1"/>
    <xf borderId="50" fillId="0" fontId="4" numFmtId="10" xfId="0" applyAlignment="1" applyBorder="1" applyFont="1" applyNumberFormat="1">
      <alignment horizontal="center" readingOrder="0" shrinkToFit="0" vertical="bottom" wrapText="0"/>
    </xf>
    <xf borderId="0" fillId="3" fontId="4" numFmtId="0" xfId="0" applyAlignment="1" applyFont="1">
      <alignment horizontal="left" shrinkToFit="0" vertical="bottom" wrapText="0"/>
    </xf>
    <xf borderId="58" fillId="3" fontId="4" numFmtId="0" xfId="0" applyAlignment="1" applyBorder="1" applyFont="1">
      <alignment horizontal="left" shrinkToFit="0" vertical="bottom" wrapText="0"/>
    </xf>
    <xf borderId="59" fillId="0" fontId="2" numFmtId="0" xfId="0" applyBorder="1" applyFont="1"/>
    <xf borderId="60" fillId="0" fontId="2" numFmtId="0" xfId="0" applyBorder="1" applyFont="1"/>
    <xf borderId="4" fillId="3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51" fillId="3" fontId="7" numFmtId="0" xfId="0" applyAlignment="1" applyBorder="1" applyFont="1">
      <alignment horizontal="center" shrinkToFit="0" vertical="bottom" wrapText="0"/>
    </xf>
    <xf borderId="61" fillId="3" fontId="7" numFmtId="166" xfId="0" applyAlignment="1" applyBorder="1" applyFont="1" applyNumberFormat="1">
      <alignment horizontal="center" shrinkToFit="0" vertical="bottom" wrapText="0"/>
    </xf>
    <xf borderId="62" fillId="3" fontId="8" numFmtId="165" xfId="0" applyAlignment="1" applyBorder="1" applyFont="1" applyNumberFormat="1">
      <alignment horizontal="center" shrinkToFit="0" vertical="bottom" wrapText="0"/>
    </xf>
    <xf borderId="63" fillId="2" fontId="1" numFmtId="0" xfId="0" applyAlignment="1" applyBorder="1" applyFont="1">
      <alignment horizontal="center" shrinkToFit="0" vertical="center" wrapText="0"/>
    </xf>
    <xf borderId="64" fillId="0" fontId="2" numFmtId="0" xfId="0" applyBorder="1" applyFont="1"/>
    <xf borderId="65" fillId="0" fontId="2" numFmtId="0" xfId="0" applyBorder="1" applyFont="1"/>
    <xf borderId="66" fillId="3" fontId="4" numFmtId="0" xfId="0" applyAlignment="1" applyBorder="1" applyFont="1">
      <alignment horizontal="left" shrinkToFit="0" vertical="bottom" wrapText="0"/>
    </xf>
    <xf borderId="67" fillId="0" fontId="2" numFmtId="0" xfId="0" applyBorder="1" applyFont="1"/>
    <xf borderId="68" fillId="0" fontId="2" numFmtId="0" xfId="0" applyBorder="1" applyFont="1"/>
    <xf borderId="21" fillId="0" fontId="4" numFmtId="0" xfId="0" applyAlignment="1" applyBorder="1" applyFont="1">
      <alignment shrinkToFit="0" vertical="bottom" wrapText="0"/>
    </xf>
    <xf borderId="69" fillId="3" fontId="4" numFmtId="0" xfId="0" applyAlignment="1" applyBorder="1" applyFont="1">
      <alignment horizontal="left" shrinkToFit="0" vertical="bottom" wrapText="1"/>
    </xf>
    <xf borderId="70" fillId="0" fontId="2" numFmtId="0" xfId="0" applyBorder="1" applyFont="1"/>
    <xf borderId="71" fillId="0" fontId="2" numFmtId="0" xfId="0" applyBorder="1" applyFont="1"/>
    <xf borderId="72" fillId="3" fontId="4" numFmtId="0" xfId="0" applyAlignment="1" applyBorder="1" applyFont="1">
      <alignment shrinkToFit="0" vertical="bottom" wrapText="0"/>
    </xf>
    <xf borderId="73" fillId="0" fontId="3" numFmtId="0" xfId="0" applyBorder="1" applyFont="1"/>
    <xf borderId="74" fillId="0" fontId="3" numFmtId="0" xfId="0" applyBorder="1" applyFont="1"/>
    <xf borderId="72" fillId="0" fontId="3" numFmtId="0" xfId="0" applyBorder="1" applyFont="1"/>
    <xf borderId="4" fillId="0" fontId="4" numFmtId="0" xfId="0" applyAlignment="1" applyBorder="1" applyFont="1">
      <alignment shrinkToFit="0" vertical="bottom" wrapText="0"/>
    </xf>
    <xf borderId="75" fillId="3" fontId="4" numFmtId="0" xfId="0" applyAlignment="1" applyBorder="1" applyFont="1">
      <alignment horizontal="left" readingOrder="0" shrinkToFit="0" vertical="bottom" wrapText="1"/>
    </xf>
    <xf borderId="76" fillId="0" fontId="2" numFmtId="0" xfId="0" applyBorder="1" applyFont="1"/>
    <xf borderId="77" fillId="0" fontId="2" numFmtId="0" xfId="0" applyBorder="1" applyFont="1"/>
    <xf borderId="1" fillId="2" fontId="1" numFmtId="0" xfId="0" applyAlignment="1" applyBorder="1" applyFont="1">
      <alignment horizontal="center" shrinkToFit="0" vertical="center" wrapText="0"/>
    </xf>
    <xf borderId="78" fillId="3" fontId="4" numFmtId="0" xfId="0" applyAlignment="1" applyBorder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79" fillId="3" fontId="4" numFmtId="0" xfId="0" applyAlignment="1" applyBorder="1" applyFont="1">
      <alignment shrinkToFit="0" vertical="center" wrapText="0"/>
    </xf>
    <xf borderId="80" fillId="3" fontId="4" numFmtId="0" xfId="0" applyAlignment="1" applyBorder="1" applyFont="1">
      <alignment shrinkToFit="0" vertical="center" wrapText="0"/>
    </xf>
    <xf borderId="81" fillId="3" fontId="4" numFmtId="0" xfId="0" applyAlignment="1" applyBorder="1" applyFont="1">
      <alignment shrinkToFit="0" vertical="center" wrapText="0"/>
    </xf>
    <xf borderId="82" fillId="3" fontId="4" numFmtId="0" xfId="0" applyAlignment="1" applyBorder="1" applyFont="1">
      <alignment shrinkToFit="0" vertical="center" wrapText="0"/>
    </xf>
    <xf borderId="83" fillId="3" fontId="4" numFmtId="0" xfId="0" applyAlignment="1" applyBorder="1" applyFont="1">
      <alignment shrinkToFit="0" vertical="center" wrapText="0"/>
    </xf>
    <xf borderId="84" fillId="3" fontId="4" numFmtId="0" xfId="0" applyAlignment="1" applyBorder="1" applyFont="1">
      <alignment shrinkToFit="0" vertical="center" wrapText="0"/>
    </xf>
    <xf borderId="85" fillId="3" fontId="4" numFmtId="0" xfId="0" applyAlignment="1" applyBorder="1" applyFont="1">
      <alignment shrinkToFit="0" vertical="center" wrapText="0"/>
    </xf>
    <xf borderId="86" fillId="3" fontId="7" numFmtId="0" xfId="0" applyAlignment="1" applyBorder="1" applyFont="1">
      <alignment horizontal="center" shrinkToFit="0" vertical="center" wrapText="0"/>
    </xf>
    <xf borderId="87" fillId="3" fontId="7" numFmtId="0" xfId="0" applyAlignment="1" applyBorder="1" applyFont="1">
      <alignment horizontal="center" shrinkToFit="0" vertical="center" wrapText="0"/>
    </xf>
    <xf borderId="88" fillId="3" fontId="7" numFmtId="0" xfId="0" applyAlignment="1" applyBorder="1" applyFont="1">
      <alignment horizontal="center" shrinkToFit="0" vertical="center" wrapText="0"/>
    </xf>
    <xf borderId="89" fillId="3" fontId="4" numFmtId="0" xfId="0" applyAlignment="1" applyBorder="1" applyFont="1">
      <alignment shrinkToFit="0" vertical="center" wrapText="0"/>
    </xf>
    <xf borderId="90" fillId="3" fontId="4" numFmtId="0" xfId="0" applyAlignment="1" applyBorder="1" applyFont="1">
      <alignment horizontal="center" shrinkToFit="0" vertical="center" wrapText="0"/>
    </xf>
    <xf borderId="91" fillId="3" fontId="4" numFmtId="0" xfId="0" applyAlignment="1" applyBorder="1" applyFont="1">
      <alignment horizontal="center" shrinkToFit="0" vertical="center" wrapText="0"/>
    </xf>
    <xf borderId="92" fillId="3" fontId="4" numFmtId="0" xfId="0" applyAlignment="1" applyBorder="1" applyFont="1">
      <alignment horizontal="center" shrinkToFit="0" vertical="center" wrapText="0"/>
    </xf>
    <xf borderId="93" fillId="3" fontId="4" numFmtId="0" xfId="0" applyAlignment="1" applyBorder="1" applyFont="1">
      <alignment horizontal="center" shrinkToFit="0" vertical="center" wrapText="0"/>
    </xf>
    <xf borderId="94" fillId="3" fontId="4" numFmtId="0" xfId="0" applyAlignment="1" applyBorder="1" applyFont="1">
      <alignment horizontal="center" shrinkToFit="0" vertical="center" wrapText="0"/>
    </xf>
    <xf borderId="95" fillId="3" fontId="4" numFmtId="0" xfId="0" applyAlignment="1" applyBorder="1" applyFont="1">
      <alignment horizontal="center" shrinkToFit="0" vertical="center" wrapText="0"/>
    </xf>
    <xf borderId="96" fillId="3" fontId="4" numFmtId="0" xfId="0" applyAlignment="1" applyBorder="1" applyFont="1">
      <alignment horizontal="center" shrinkToFit="0" vertical="center" wrapText="0"/>
    </xf>
    <xf borderId="97" fillId="3" fontId="4" numFmtId="0" xfId="0" applyAlignment="1" applyBorder="1" applyFont="1">
      <alignment horizontal="center" shrinkToFit="0" vertical="center" wrapText="0"/>
    </xf>
    <xf borderId="98" fillId="3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shrinkToFit="0" vertical="center" wrapText="0"/>
    </xf>
    <xf borderId="99" fillId="3" fontId="7" numFmtId="0" xfId="0" applyAlignment="1" applyBorder="1" applyFont="1">
      <alignment shrinkToFit="0" vertical="center" wrapText="0"/>
    </xf>
    <xf borderId="100" fillId="3" fontId="7" numFmtId="0" xfId="0" applyAlignment="1" applyBorder="1" applyFont="1">
      <alignment horizontal="center" shrinkToFit="0" vertical="center" wrapText="0"/>
    </xf>
    <xf borderId="101" fillId="3" fontId="4" numFmtId="0" xfId="0" applyAlignment="1" applyBorder="1" applyFont="1">
      <alignment shrinkToFit="0" vertical="center" wrapText="0"/>
    </xf>
    <xf borderId="83" fillId="0" fontId="3" numFmtId="0" xfId="0" applyAlignment="1" applyBorder="1" applyFont="1">
      <alignment vertical="center"/>
    </xf>
    <xf borderId="73" fillId="3" fontId="4" numFmtId="0" xfId="0" applyAlignment="1" applyBorder="1" applyFont="1">
      <alignment shrinkToFit="0" vertical="center" wrapText="0"/>
    </xf>
    <xf borderId="86" fillId="3" fontId="7" numFmtId="0" xfId="0" applyAlignment="1" applyBorder="1" applyFont="1">
      <alignment shrinkToFit="0" vertical="center" wrapText="0"/>
    </xf>
    <xf borderId="88" fillId="3" fontId="7" numFmtId="0" xfId="0" applyAlignment="1" applyBorder="1" applyFont="1">
      <alignment shrinkToFit="0" vertical="center" wrapText="0"/>
    </xf>
    <xf borderId="102" fillId="3" fontId="4" numFmtId="0" xfId="0" applyAlignment="1" applyBorder="1" applyFont="1">
      <alignment shrinkToFit="0" vertical="center" wrapText="0"/>
    </xf>
    <xf borderId="90" fillId="3" fontId="4" numFmtId="0" xfId="0" applyAlignment="1" applyBorder="1" applyFont="1">
      <alignment readingOrder="0" shrinkToFit="0" vertical="center" wrapText="0"/>
    </xf>
    <xf borderId="93" fillId="3" fontId="4" numFmtId="0" xfId="0" applyAlignment="1" applyBorder="1" applyFont="1">
      <alignment readingOrder="0" shrinkToFit="0" vertical="center" wrapText="0"/>
    </xf>
    <xf borderId="103" fillId="0" fontId="4" numFmtId="0" xfId="0" applyAlignment="1" applyBorder="1" applyFont="1">
      <alignment readingOrder="0" shrinkToFit="0" vertical="center" wrapText="0"/>
    </xf>
    <xf borderId="99" fillId="3" fontId="7" numFmtId="0" xfId="0" applyAlignment="1" applyBorder="1" applyFont="1">
      <alignment horizontal="center" shrinkToFit="0" vertical="center" wrapText="0"/>
    </xf>
    <xf borderId="100" fillId="3" fontId="7" numFmtId="0" xfId="0" applyAlignment="1" applyBorder="1" applyFont="1">
      <alignment horizontal="center" readingOrder="0" shrinkToFit="0" vertical="center" wrapText="0"/>
    </xf>
    <xf borderId="104" fillId="0" fontId="4" numFmtId="0" xfId="0" applyAlignment="1" applyBorder="1" applyFont="1">
      <alignment shrinkToFit="0" vertical="center" wrapText="0"/>
    </xf>
    <xf borderId="105" fillId="0" fontId="2" numFmtId="0" xfId="0" applyBorder="1" applyFont="1"/>
    <xf borderId="106" fillId="0" fontId="4" numFmtId="0" xfId="0" applyAlignment="1" applyBorder="1" applyFont="1">
      <alignment shrinkToFit="0" vertical="bottom" wrapText="0"/>
    </xf>
    <xf borderId="107" fillId="0" fontId="2" numFmtId="0" xfId="0" applyBorder="1" applyFont="1"/>
    <xf borderId="108" fillId="0" fontId="2" numFmtId="0" xfId="0" applyBorder="1" applyFont="1"/>
    <xf borderId="109" fillId="3" fontId="4" numFmtId="0" xfId="0" applyAlignment="1" applyBorder="1" applyFont="1">
      <alignment shrinkToFit="0" vertical="bottom" wrapText="0"/>
    </xf>
    <xf borderId="110" fillId="3" fontId="4" numFmtId="0" xfId="0" applyAlignment="1" applyBorder="1" applyFont="1">
      <alignment shrinkToFit="0" vertical="bottom" wrapText="0"/>
    </xf>
    <xf borderId="111" fillId="3" fontId="1" numFmtId="0" xfId="0" applyAlignment="1" applyBorder="1" applyFont="1">
      <alignment shrinkToFit="0" vertical="bottom" wrapText="0"/>
    </xf>
    <xf borderId="112" fillId="3" fontId="1" numFmtId="0" xfId="0" applyAlignment="1" applyBorder="1" applyFont="1">
      <alignment shrinkToFit="0" vertical="bottom" wrapText="0"/>
    </xf>
    <xf borderId="113" fillId="0" fontId="3" numFmtId="0" xfId="0" applyBorder="1" applyFont="1"/>
    <xf borderId="114" fillId="0" fontId="3" numFmtId="0" xfId="0" applyBorder="1" applyFont="1"/>
    <xf borderId="115" fillId="0" fontId="3" numFmtId="0" xfId="0" applyBorder="1" applyFont="1"/>
    <xf borderId="116" fillId="0" fontId="3" numFmtId="0" xfId="0" applyBorder="1" applyFont="1"/>
    <xf borderId="117" fillId="0" fontId="3" numFmtId="0" xfId="0" applyBorder="1" applyFont="1"/>
    <xf borderId="118" fillId="2" fontId="7" numFmtId="0" xfId="0" applyAlignment="1" applyBorder="1" applyFont="1">
      <alignment horizontal="center" shrinkToFit="0" vertical="bottom" wrapText="0"/>
    </xf>
    <xf borderId="119" fillId="2" fontId="7" numFmtId="0" xfId="0" applyAlignment="1" applyBorder="1" applyFont="1">
      <alignment horizontal="center" shrinkToFit="0" vertical="bottom" wrapText="0"/>
    </xf>
    <xf borderId="120" fillId="2" fontId="7" numFmtId="0" xfId="0" applyAlignment="1" applyBorder="1" applyFont="1">
      <alignment horizontal="center" shrinkToFit="0" vertical="bottom" wrapText="0"/>
    </xf>
    <xf borderId="121" fillId="3" fontId="7" numFmtId="0" xfId="0" applyAlignment="1" applyBorder="1" applyFont="1">
      <alignment horizontal="center" shrinkToFit="0" vertical="bottom" wrapText="0"/>
    </xf>
    <xf borderId="122" fillId="3" fontId="4" numFmtId="0" xfId="0" applyAlignment="1" applyBorder="1" applyFont="1">
      <alignment horizontal="center" shrinkToFit="0" vertical="bottom" wrapText="0"/>
    </xf>
    <xf borderId="91" fillId="3" fontId="4" numFmtId="0" xfId="0" applyAlignment="1" applyBorder="1" applyFont="1">
      <alignment horizontal="center" readingOrder="0" shrinkToFit="0" vertical="bottom" wrapText="0"/>
    </xf>
    <xf borderId="123" fillId="3" fontId="4" numFmtId="0" xfId="0" applyAlignment="1" applyBorder="1" applyFont="1">
      <alignment horizontal="center" shrinkToFit="0" vertical="bottom" wrapText="0"/>
    </xf>
    <xf borderId="121" fillId="3" fontId="4" numFmtId="0" xfId="0" applyAlignment="1" applyBorder="1" applyFont="1">
      <alignment horizontal="center" shrinkToFit="0" vertical="bottom" wrapText="0"/>
    </xf>
    <xf borderId="124" fillId="3" fontId="4" numFmtId="0" xfId="0" applyAlignment="1" applyBorder="1" applyFont="1">
      <alignment horizontal="center" shrinkToFit="0" vertical="bottom" wrapText="0"/>
    </xf>
    <xf borderId="94" fillId="3" fontId="4" numFmtId="0" xfId="0" applyAlignment="1" applyBorder="1" applyFont="1">
      <alignment horizontal="center" readingOrder="0" shrinkToFit="0" vertical="bottom" wrapText="0"/>
    </xf>
    <xf borderId="125" fillId="3" fontId="4" numFmtId="0" xfId="0" applyAlignment="1" applyBorder="1" applyFont="1">
      <alignment horizontal="center" shrinkToFit="0" vertical="bottom" wrapText="0"/>
    </xf>
    <xf borderId="126" fillId="0" fontId="3" numFmtId="0" xfId="0" applyBorder="1" applyFont="1"/>
    <xf borderId="127" fillId="3" fontId="4" numFmtId="0" xfId="0" applyAlignment="1" applyBorder="1" applyFont="1">
      <alignment horizontal="center" shrinkToFit="0" vertical="bottom" wrapText="0"/>
    </xf>
    <xf borderId="97" fillId="3" fontId="4" numFmtId="0" xfId="0" applyAlignment="1" applyBorder="1" applyFont="1">
      <alignment horizontal="center" readingOrder="0" shrinkToFit="0" vertical="bottom" wrapText="0"/>
    </xf>
    <xf borderId="128" fillId="3" fontId="4" numFmtId="0" xfId="0" applyAlignment="1" applyBorder="1" applyFont="1">
      <alignment horizontal="center" shrinkToFit="0" vertical="bottom" wrapText="0"/>
    </xf>
    <xf borderId="129" fillId="3" fontId="7" numFmtId="0" xfId="0" applyAlignment="1" applyBorder="1" applyFont="1">
      <alignment horizontal="center" shrinkToFit="0" vertical="bottom" wrapText="0"/>
    </xf>
    <xf borderId="130" fillId="3" fontId="7" numFmtId="0" xfId="0" applyAlignment="1" applyBorder="1" applyFont="1">
      <alignment horizontal="center" shrinkToFit="0" vertical="bottom" wrapText="0"/>
    </xf>
    <xf borderId="121" fillId="0" fontId="3" numFmtId="0" xfId="0" applyBorder="1" applyFont="1"/>
    <xf borderId="131" fillId="3" fontId="4" numFmtId="0" xfId="0" applyAlignment="1" applyBorder="1" applyFont="1">
      <alignment horizontal="center" shrinkToFit="0" vertical="bottom" wrapText="0"/>
    </xf>
    <xf borderId="83" fillId="3" fontId="4" numFmtId="0" xfId="0" applyAlignment="1" applyBorder="1" applyFont="1">
      <alignment horizontal="center" shrinkToFit="0" vertical="bottom" wrapText="0"/>
    </xf>
    <xf borderId="132" fillId="3" fontId="4" numFmtId="0" xfId="0" applyAlignment="1" applyBorder="1" applyFont="1">
      <alignment horizontal="center" shrinkToFit="0" vertical="bottom" wrapText="0"/>
    </xf>
    <xf borderId="133" fillId="0" fontId="3" numFmtId="0" xfId="0" applyBorder="1" applyFont="1"/>
    <xf borderId="86" fillId="2" fontId="7" numFmtId="0" xfId="0" applyAlignment="1" applyBorder="1" applyFont="1">
      <alignment shrinkToFit="0" vertical="bottom" wrapText="0"/>
    </xf>
    <xf borderId="87" fillId="2" fontId="7" numFmtId="0" xfId="0" applyAlignment="1" applyBorder="1" applyFont="1">
      <alignment shrinkToFit="0" vertical="bottom" wrapText="0"/>
    </xf>
    <xf borderId="87" fillId="2" fontId="7" numFmtId="0" xfId="0" applyAlignment="1" applyBorder="1" applyFont="1">
      <alignment horizontal="left" shrinkToFit="0" vertical="bottom" wrapText="0"/>
    </xf>
    <xf borderId="134" fillId="2" fontId="7" numFmtId="0" xfId="0" applyAlignment="1" applyBorder="1" applyFont="1">
      <alignment readingOrder="0" shrinkToFit="0" vertical="bottom" wrapText="0"/>
    </xf>
    <xf borderId="90" fillId="3" fontId="4" numFmtId="167" xfId="0" applyAlignment="1" applyBorder="1" applyFont="1" applyNumberFormat="1">
      <alignment shrinkToFit="0" vertical="bottom" wrapText="0"/>
    </xf>
    <xf borderId="94" fillId="3" fontId="4" numFmtId="0" xfId="0" applyAlignment="1" applyBorder="1" applyFont="1">
      <alignment shrinkToFit="0" vertical="bottom" wrapText="0"/>
    </xf>
    <xf borderId="91" fillId="3" fontId="4" numFmtId="0" xfId="0" applyAlignment="1" applyBorder="1" applyFont="1">
      <alignment horizontal="center" shrinkToFit="0" vertical="bottom" wrapText="0"/>
    </xf>
    <xf borderId="92" fillId="3" fontId="4" numFmtId="0" xfId="0" applyAlignment="1" applyBorder="1" applyFont="1">
      <alignment readingOrder="0" shrinkToFit="0" vertical="bottom" wrapText="0"/>
    </xf>
    <xf borderId="112" fillId="3" fontId="4" numFmtId="0" xfId="0" applyAlignment="1" applyBorder="1" applyFont="1">
      <alignment shrinkToFit="0" vertical="bottom" wrapText="0"/>
    </xf>
    <xf borderId="93" fillId="3" fontId="4" numFmtId="167" xfId="0" applyAlignment="1" applyBorder="1" applyFont="1" applyNumberFormat="1">
      <alignment shrinkToFit="0" vertical="bottom" wrapText="0"/>
    </xf>
    <xf borderId="94" fillId="3" fontId="4" numFmtId="0" xfId="0" applyAlignment="1" applyBorder="1" applyFont="1">
      <alignment readingOrder="0" shrinkToFit="0" vertical="bottom" wrapText="0"/>
    </xf>
    <xf borderId="95" fillId="3" fontId="4" numFmtId="0" xfId="0" applyAlignment="1" applyBorder="1" applyFont="1">
      <alignment readingOrder="0" shrinkToFit="0" vertical="bottom" wrapText="0"/>
    </xf>
    <xf borderId="94" fillId="3" fontId="9" numFmtId="0" xfId="0" applyAlignment="1" applyBorder="1" applyFont="1">
      <alignment readingOrder="0" vertical="bottom"/>
    </xf>
    <xf borderId="91" fillId="3" fontId="9" numFmtId="0" xfId="0" applyAlignment="1" applyBorder="1" applyFont="1">
      <alignment vertical="bottom"/>
    </xf>
    <xf borderId="93" fillId="3" fontId="4" numFmtId="167" xfId="0" applyAlignment="1" applyBorder="1" applyFont="1" applyNumberFormat="1">
      <alignment readingOrder="0" shrinkToFit="0" vertical="bottom" wrapText="0"/>
    </xf>
    <xf borderId="99" fillId="3" fontId="7" numFmtId="0" xfId="0" applyAlignment="1" applyBorder="1" applyFont="1">
      <alignment shrinkToFit="0" vertical="bottom" wrapText="0"/>
    </xf>
    <xf borderId="135" fillId="3" fontId="7" numFmtId="0" xfId="0" applyAlignment="1" applyBorder="1" applyFont="1">
      <alignment shrinkToFit="0" vertical="bottom" wrapText="0"/>
    </xf>
    <xf borderId="135" fillId="3" fontId="7" numFmtId="0" xfId="0" applyAlignment="1" applyBorder="1" applyFont="1">
      <alignment horizontal="center" shrinkToFit="0" vertical="bottom" wrapText="0"/>
    </xf>
    <xf borderId="100" fillId="3" fontId="7" numFmtId="0" xfId="0" applyAlignment="1" applyBorder="1" applyFont="1">
      <alignment horizontal="center" shrinkToFit="0" vertical="bottom" wrapText="0"/>
    </xf>
    <xf borderId="0" fillId="3" fontId="4" numFmtId="0" xfId="0" applyAlignment="1" applyFont="1">
      <alignment readingOrder="0" shrinkToFit="0" vertical="bottom" wrapText="0"/>
    </xf>
    <xf borderId="136" fillId="2" fontId="7" numFmtId="0" xfId="0" applyAlignment="1" applyBorder="1" applyFont="1">
      <alignment horizontal="center" shrinkToFit="0" vertical="bottom" wrapText="0"/>
    </xf>
    <xf borderId="119" fillId="2" fontId="7" numFmtId="0" xfId="0" applyAlignment="1" applyBorder="1" applyFont="1">
      <alignment shrinkToFit="0" vertical="bottom" wrapText="0"/>
    </xf>
    <xf borderId="134" fillId="2" fontId="7" numFmtId="0" xfId="0" applyAlignment="1" applyBorder="1" applyFont="1">
      <alignment shrinkToFit="0" vertical="bottom" wrapText="0"/>
    </xf>
    <xf borderId="90" fillId="3" fontId="4" numFmtId="0" xfId="0" applyAlignment="1" applyBorder="1" applyFont="1">
      <alignment horizontal="center" shrinkToFit="0" vertical="bottom" wrapText="0"/>
    </xf>
    <xf borderId="91" fillId="3" fontId="4" numFmtId="0" xfId="0" applyAlignment="1" applyBorder="1" applyFont="1">
      <alignment shrinkToFit="0" vertical="bottom" wrapText="0"/>
    </xf>
    <xf borderId="92" fillId="3" fontId="4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93" fillId="3" fontId="4" numFmtId="0" xfId="0" applyAlignment="1" applyBorder="1" applyFont="1">
      <alignment horizontal="center" shrinkToFit="0" vertical="bottom" wrapText="0"/>
    </xf>
    <xf borderId="94" fillId="3" fontId="4" numFmtId="0" xfId="0" applyAlignment="1" applyBorder="1" applyFont="1">
      <alignment horizontal="center" shrinkToFit="0" vertical="bottom" wrapText="0"/>
    </xf>
    <xf borderId="95" fillId="3" fontId="4" numFmtId="0" xfId="0" applyAlignment="1" applyBorder="1" applyFont="1">
      <alignment horizontal="center" readingOrder="0" shrinkToFit="0" vertical="bottom" wrapText="0"/>
    </xf>
    <xf borderId="96" fillId="3" fontId="4" numFmtId="0" xfId="0" applyAlignment="1" applyBorder="1" applyFont="1">
      <alignment horizontal="center" shrinkToFit="0" vertical="bottom" wrapText="0"/>
    </xf>
    <xf borderId="97" fillId="3" fontId="4" numFmtId="0" xfId="0" applyAlignment="1" applyBorder="1" applyFont="1">
      <alignment shrinkToFit="0" vertical="bottom" wrapText="0"/>
    </xf>
    <xf borderId="97" fillId="3" fontId="4" numFmtId="0" xfId="0" applyAlignment="1" applyBorder="1" applyFont="1">
      <alignment horizontal="center" shrinkToFit="0" vertical="bottom" wrapText="0"/>
    </xf>
    <xf borderId="98" fillId="3" fontId="4" numFmtId="0" xfId="0" applyAlignment="1" applyBorder="1" applyFont="1">
      <alignment horizontal="center" readingOrder="0" shrinkToFit="0" vertical="bottom" wrapText="0"/>
    </xf>
    <xf borderId="137" fillId="3" fontId="7" numFmtId="0" xfId="0" applyAlignment="1" applyBorder="1" applyFont="1">
      <alignment horizontal="center" shrinkToFit="0" vertical="bottom" wrapText="0"/>
    </xf>
    <xf borderId="138" fillId="0" fontId="2" numFmtId="0" xfId="0" applyBorder="1" applyFont="1"/>
    <xf borderId="136" fillId="2" fontId="7" numFmtId="0" xfId="0" applyAlignment="1" applyBorder="1" applyFont="1">
      <alignment horizontal="center" shrinkToFit="0" vertical="center" wrapText="0"/>
    </xf>
    <xf borderId="120" fillId="2" fontId="7" numFmtId="0" xfId="0" applyAlignment="1" applyBorder="1" applyFont="1">
      <alignment horizontal="left" shrinkToFit="0" vertical="center" wrapText="0"/>
    </xf>
    <xf borderId="139" fillId="0" fontId="2" numFmtId="0" xfId="0" applyBorder="1" applyFont="1"/>
    <xf borderId="118" fillId="0" fontId="2" numFmtId="0" xfId="0" applyBorder="1" applyFont="1"/>
    <xf borderId="119" fillId="2" fontId="7" numFmtId="0" xfId="0" applyAlignment="1" applyBorder="1" applyFont="1">
      <alignment horizontal="center" shrinkToFit="0" vertical="center" wrapText="0"/>
    </xf>
    <xf borderId="134" fillId="2" fontId="7" numFmtId="0" xfId="0" applyAlignment="1" applyBorder="1" applyFont="1">
      <alignment horizontal="center" shrinkToFit="0" vertical="center" wrapText="0"/>
    </xf>
    <xf borderId="123" fillId="3" fontId="4" numFmtId="0" xfId="0" applyAlignment="1" applyBorder="1" applyFont="1">
      <alignment horizontal="left" shrinkToFit="0" vertical="center" wrapText="0"/>
    </xf>
    <xf borderId="140" fillId="0" fontId="2" numFmtId="0" xfId="0" applyBorder="1" applyFont="1"/>
    <xf borderId="122" fillId="0" fontId="2" numFmtId="0" xfId="0" applyBorder="1" applyFont="1"/>
    <xf borderId="92" fillId="3" fontId="4" numFmtId="0" xfId="0" applyAlignment="1" applyBorder="1" applyFont="1">
      <alignment horizontal="center" readingOrder="0" shrinkToFit="0" vertical="center" wrapText="0"/>
    </xf>
    <xf borderId="125" fillId="3" fontId="4" numFmtId="0" xfId="0" applyAlignment="1" applyBorder="1" applyFont="1">
      <alignment horizontal="left" shrinkToFit="0" vertical="center" wrapText="0"/>
    </xf>
    <xf borderId="141" fillId="0" fontId="2" numFmtId="0" xfId="0" applyBorder="1" applyFont="1"/>
    <xf borderId="124" fillId="0" fontId="2" numFmtId="0" xfId="0" applyBorder="1" applyFont="1"/>
    <xf borderId="95" fillId="3" fontId="4" numFmtId="0" xfId="0" applyAlignment="1" applyBorder="1" applyFont="1">
      <alignment horizontal="center" readingOrder="0" shrinkToFit="0" vertical="center" wrapText="0"/>
    </xf>
    <xf borderId="103" fillId="3" fontId="4" numFmtId="0" xfId="0" applyAlignment="1" applyBorder="1" applyFont="1">
      <alignment horizontal="center" shrinkToFit="0" vertical="center" wrapText="0"/>
    </xf>
    <xf borderId="128" fillId="3" fontId="4" numFmtId="0" xfId="0" applyAlignment="1" applyBorder="1" applyFont="1">
      <alignment horizontal="left" shrinkToFit="0" vertical="center" wrapText="0"/>
    </xf>
    <xf borderId="142" fillId="0" fontId="2" numFmtId="0" xfId="0" applyBorder="1" applyFont="1"/>
    <xf borderId="143" fillId="0" fontId="2" numFmtId="0" xfId="0" applyBorder="1" applyFont="1"/>
    <xf borderId="98" fillId="3" fontId="4" numFmtId="0" xfId="0" applyAlignment="1" applyBorder="1" applyFont="1">
      <alignment horizontal="center" readingOrder="0" shrinkToFit="0" vertical="center" wrapText="0"/>
    </xf>
    <xf borderId="3" fillId="3" fontId="7" numFmtId="0" xfId="0" applyAlignment="1" applyBorder="1" applyFont="1">
      <alignment horizontal="right" shrinkToFit="0" vertical="center" wrapText="0"/>
    </xf>
    <xf borderId="130" fillId="3" fontId="7" numFmtId="0" xfId="0" applyAlignment="1" applyBorder="1" applyFont="1">
      <alignment horizontal="center" readingOrder="0" shrinkToFit="0" vertical="bottom" wrapText="0"/>
    </xf>
    <xf borderId="130" fillId="0" fontId="2" numFmtId="0" xfId="0" applyBorder="1" applyFont="1"/>
    <xf borderId="100" fillId="3" fontId="7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0" fillId="3" fontId="11" numFmtId="0" xfId="0" applyAlignment="1" applyFont="1">
      <alignment shrinkToFit="0" vertical="bottom" wrapText="0"/>
    </xf>
    <xf borderId="86" fillId="2" fontId="12" numFmtId="0" xfId="0" applyAlignment="1" applyBorder="1" applyFont="1">
      <alignment horizontal="center" shrinkToFit="0" vertical="center" wrapText="0"/>
    </xf>
    <xf borderId="87" fillId="2" fontId="12" numFmtId="0" xfId="0" applyAlignment="1" applyBorder="1" applyFont="1">
      <alignment horizontal="center" shrinkToFit="0" vertical="center" wrapText="0"/>
    </xf>
    <xf borderId="88" fillId="2" fontId="12" numFmtId="0" xfId="0" applyAlignment="1" applyBorder="1" applyFont="1">
      <alignment horizontal="center" shrinkToFit="0" vertical="center" wrapText="0"/>
    </xf>
    <xf borderId="92" fillId="3" fontId="4" numFmtId="166" xfId="0" applyAlignment="1" applyBorder="1" applyFont="1" applyNumberFormat="1">
      <alignment horizontal="center" shrinkToFit="0" vertical="center" wrapText="0"/>
    </xf>
    <xf borderId="95" fillId="3" fontId="4" numFmtId="166" xfId="0" applyAlignment="1" applyBorder="1" applyFont="1" applyNumberFormat="1">
      <alignment horizontal="center" shrinkToFit="0" vertical="center" wrapText="0"/>
    </xf>
    <xf borderId="94" fillId="0" fontId="4" numFmtId="0" xfId="0" applyAlignment="1" applyBorder="1" applyFont="1">
      <alignment horizontal="center" shrinkToFit="0" vertical="center" wrapText="0"/>
    </xf>
    <xf borderId="144" fillId="3" fontId="7" numFmtId="0" xfId="0" applyAlignment="1" applyBorder="1" applyFont="1">
      <alignment horizontal="center" shrinkToFit="0" vertical="center" wrapText="0"/>
    </xf>
    <xf borderId="128" fillId="4" fontId="13" numFmtId="0" xfId="0" applyAlignment="1" applyBorder="1" applyFill="1" applyFont="1">
      <alignment horizontal="center" shrinkToFit="0" vertical="center" wrapText="0"/>
    </xf>
    <xf borderId="98" fillId="2" fontId="14" numFmtId="166" xfId="0" applyAlignment="1" applyBorder="1" applyFont="1" applyNumberFormat="1">
      <alignment horizontal="center" shrinkToFit="0" vertical="center" wrapText="0"/>
    </xf>
    <xf borderId="137" fillId="2" fontId="14" numFmtId="0" xfId="0" applyAlignment="1" applyBorder="1" applyFont="1">
      <alignment horizontal="center" shrinkToFit="0" vertical="center" wrapText="0"/>
    </xf>
    <xf borderId="135" fillId="2" fontId="14" numFmtId="165" xfId="0" applyAlignment="1" applyBorder="1" applyFont="1" applyNumberFormat="1">
      <alignment horizontal="center" shrinkToFit="0" vertical="center" wrapText="0"/>
    </xf>
    <xf borderId="100" fillId="3" fontId="7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9.13"/>
    <col customWidth="1" min="3" max="3" width="10.75"/>
    <col customWidth="1" min="4" max="4" width="19.63"/>
    <col customWidth="1" min="5" max="8" width="9.13"/>
    <col customWidth="1" min="9" max="9" width="11.5"/>
    <col customWidth="1" min="10" max="10" width="28.75"/>
    <col customWidth="1" min="11" max="13" width="9.13"/>
    <col customWidth="1" min="14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K2" s="7"/>
      <c r="L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/>
      <c r="K3" s="7"/>
      <c r="L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10"/>
      <c r="L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5"/>
      <c r="J5" s="11"/>
      <c r="K5" s="11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13" t="s">
        <v>1</v>
      </c>
      <c r="C6" s="14"/>
      <c r="D6" s="15" t="s">
        <v>2</v>
      </c>
      <c r="E6" s="16"/>
      <c r="F6" s="16"/>
      <c r="G6" s="16"/>
      <c r="H6" s="16"/>
      <c r="I6" s="14"/>
      <c r="J6" s="17"/>
      <c r="K6" s="18"/>
      <c r="L6" s="4"/>
      <c r="M6" s="1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19"/>
      <c r="C7" s="20"/>
      <c r="D7" s="21"/>
      <c r="E7" s="22"/>
      <c r="F7" s="22"/>
      <c r="G7" s="22"/>
      <c r="H7" s="22"/>
      <c r="I7" s="20"/>
      <c r="J7" s="23"/>
      <c r="K7" s="24"/>
      <c r="L7" s="4"/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25" t="s">
        <v>3</v>
      </c>
      <c r="C8" s="26"/>
      <c r="D8" s="27">
        <v>45958.0</v>
      </c>
      <c r="E8" s="28"/>
      <c r="F8" s="29" t="s">
        <v>4</v>
      </c>
      <c r="G8" s="26"/>
      <c r="H8" s="30" t="s">
        <v>5</v>
      </c>
      <c r="I8" s="28"/>
      <c r="J8" s="31"/>
      <c r="K8" s="32"/>
      <c r="L8" s="4"/>
      <c r="M8" s="12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/>
      <c r="B9" s="33"/>
      <c r="C9" s="33"/>
      <c r="D9" s="33"/>
      <c r="E9" s="33"/>
      <c r="F9" s="33"/>
      <c r="G9" s="33"/>
      <c r="H9" s="33"/>
      <c r="I9" s="33"/>
      <c r="J9" s="34"/>
      <c r="K9" s="35"/>
      <c r="L9" s="4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33"/>
      <c r="C10" s="33"/>
      <c r="D10" s="33"/>
      <c r="E10" s="33"/>
      <c r="F10" s="33"/>
      <c r="G10" s="33"/>
      <c r="H10" s="33"/>
      <c r="I10" s="33"/>
      <c r="J10" s="34"/>
      <c r="K10" s="36"/>
      <c r="L10" s="12"/>
      <c r="M10" s="1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33"/>
      <c r="C11" s="33"/>
      <c r="D11" s="33"/>
      <c r="E11" s="33"/>
      <c r="F11" s="37"/>
      <c r="G11" s="38" t="s">
        <v>6</v>
      </c>
      <c r="H11" s="39"/>
      <c r="I11" s="40"/>
      <c r="J11" s="41" t="s">
        <v>7</v>
      </c>
      <c r="K11" s="42" t="s">
        <v>8</v>
      </c>
      <c r="L11" s="4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43" t="s">
        <v>9</v>
      </c>
      <c r="C12" s="39"/>
      <c r="D12" s="39"/>
      <c r="E12" s="44"/>
      <c r="G12" s="45" t="s">
        <v>10</v>
      </c>
      <c r="H12" s="46"/>
      <c r="I12" s="47"/>
      <c r="J12" s="48">
        <f t="shared" ref="J12:J19" si="1">$E$13*$E$14*K12</f>
        <v>25.445475</v>
      </c>
      <c r="K12" s="49">
        <v>0.05</v>
      </c>
      <c r="L12" s="4"/>
      <c r="M12" s="5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1" t="s">
        <v>11</v>
      </c>
      <c r="C13" s="52"/>
      <c r="D13" s="53"/>
      <c r="E13" s="54">
        <f>(Atores!D10+'RFS ou RFC'!D10)*Fatores!E22*Fatores!G36</f>
        <v>169.6365</v>
      </c>
      <c r="G13" s="55" t="s">
        <v>12</v>
      </c>
      <c r="H13" s="56"/>
      <c r="I13" s="57"/>
      <c r="J13" s="58">
        <f t="shared" si="1"/>
        <v>76.336425</v>
      </c>
      <c r="K13" s="59">
        <v>0.15</v>
      </c>
      <c r="L13" s="4"/>
      <c r="M13" s="6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61" t="s">
        <v>13</v>
      </c>
      <c r="C14" s="62"/>
      <c r="D14" s="63"/>
      <c r="E14" s="64">
        <v>3.0</v>
      </c>
      <c r="G14" s="65" t="s">
        <v>14</v>
      </c>
      <c r="H14" s="66"/>
      <c r="I14" s="67"/>
      <c r="J14" s="58">
        <f t="shared" si="1"/>
        <v>101.7819</v>
      </c>
      <c r="K14" s="68">
        <v>0.2</v>
      </c>
      <c r="L14" s="4"/>
      <c r="M14" s="6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69"/>
      <c r="C15" s="69"/>
      <c r="D15" s="69"/>
      <c r="E15" s="69"/>
      <c r="G15" s="65" t="s">
        <v>15</v>
      </c>
      <c r="H15" s="66"/>
      <c r="I15" s="67"/>
      <c r="J15" s="58">
        <f t="shared" si="1"/>
        <v>50.89095</v>
      </c>
      <c r="K15" s="68">
        <v>0.1</v>
      </c>
      <c r="L15" s="4"/>
      <c r="M15" s="6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69"/>
      <c r="C16" s="69"/>
      <c r="D16" s="69"/>
      <c r="E16" s="69"/>
      <c r="G16" s="70" t="s">
        <v>16</v>
      </c>
      <c r="H16" s="71"/>
      <c r="I16" s="72"/>
      <c r="J16" s="58">
        <f t="shared" si="1"/>
        <v>178.118325</v>
      </c>
      <c r="K16" s="68">
        <v>0.35</v>
      </c>
      <c r="L16" s="73"/>
      <c r="M16" s="6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G17" s="70" t="s">
        <v>17</v>
      </c>
      <c r="H17" s="71"/>
      <c r="I17" s="72"/>
      <c r="J17" s="58">
        <f t="shared" si="1"/>
        <v>25.445475</v>
      </c>
      <c r="K17" s="68">
        <v>0.05</v>
      </c>
      <c r="L17" s="73"/>
      <c r="M17" s="5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G18" s="70" t="s">
        <v>18</v>
      </c>
      <c r="H18" s="71"/>
      <c r="I18" s="72"/>
      <c r="J18" s="58">
        <f t="shared" si="1"/>
        <v>25.445475</v>
      </c>
      <c r="K18" s="68">
        <v>0.05</v>
      </c>
      <c r="L18" s="73"/>
      <c r="M18" s="7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G19" s="70" t="s">
        <v>19</v>
      </c>
      <c r="H19" s="71"/>
      <c r="I19" s="72"/>
      <c r="J19" s="58">
        <f t="shared" si="1"/>
        <v>25.445475</v>
      </c>
      <c r="K19" s="68">
        <v>0.05</v>
      </c>
      <c r="L19" s="73"/>
      <c r="M19" s="7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G20" s="75" t="s">
        <v>20</v>
      </c>
      <c r="H20" s="62"/>
      <c r="I20" s="63"/>
      <c r="J20" s="76">
        <f t="shared" ref="J20:K20" si="2">SUM(J12:J19)</f>
        <v>508.9095</v>
      </c>
      <c r="K20" s="77">
        <f t="shared" si="2"/>
        <v>1</v>
      </c>
      <c r="L20" s="73"/>
      <c r="M20" s="7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L21" s="60"/>
      <c r="M21" s="7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78" t="s">
        <v>21</v>
      </c>
      <c r="C22" s="79"/>
      <c r="D22" s="79"/>
      <c r="E22" s="79"/>
      <c r="F22" s="79"/>
      <c r="G22" s="79"/>
      <c r="H22" s="79"/>
      <c r="I22" s="79"/>
      <c r="J22" s="79"/>
      <c r="K22" s="80"/>
      <c r="L22" s="60"/>
      <c r="M22" s="7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81" t="s">
        <v>22</v>
      </c>
      <c r="C23" s="82"/>
      <c r="D23" s="82"/>
      <c r="E23" s="82"/>
      <c r="F23" s="82"/>
      <c r="G23" s="82"/>
      <c r="H23" s="82"/>
      <c r="I23" s="82"/>
      <c r="J23" s="83"/>
      <c r="K23" s="84"/>
      <c r="L23" s="73"/>
      <c r="M23" s="7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/>
      <c r="B24" s="85" t="s">
        <v>23</v>
      </c>
      <c r="C24" s="86"/>
      <c r="D24" s="86"/>
      <c r="E24" s="86"/>
      <c r="F24" s="86"/>
      <c r="G24" s="86"/>
      <c r="H24" s="86"/>
      <c r="I24" s="86"/>
      <c r="J24" s="87"/>
      <c r="K24" s="24"/>
      <c r="L24" s="73"/>
      <c r="M24" s="7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88" t="s">
        <v>24</v>
      </c>
      <c r="C25" s="89"/>
      <c r="D25" s="89"/>
      <c r="E25" s="89"/>
      <c r="F25" s="89"/>
      <c r="G25" s="89"/>
      <c r="H25" s="89"/>
      <c r="I25" s="89"/>
      <c r="J25" s="90"/>
      <c r="K25" s="24"/>
      <c r="L25" s="73"/>
      <c r="M25" s="7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/>
      <c r="B26" s="88" t="s">
        <v>25</v>
      </c>
      <c r="C26" s="89"/>
      <c r="D26" s="89"/>
      <c r="E26" s="89"/>
      <c r="F26" s="89"/>
      <c r="G26" s="89"/>
      <c r="H26" s="89"/>
      <c r="I26" s="89"/>
      <c r="J26" s="90"/>
      <c r="K26" s="24"/>
      <c r="L26" s="73"/>
      <c r="M26" s="7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91"/>
      <c r="C27" s="89"/>
      <c r="D27" s="89"/>
      <c r="E27" s="89"/>
      <c r="F27" s="89"/>
      <c r="G27" s="89"/>
      <c r="H27" s="89"/>
      <c r="I27" s="89"/>
      <c r="J27" s="90"/>
      <c r="K27" s="24"/>
      <c r="L27" s="73"/>
      <c r="M27" s="7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/>
      <c r="B28" s="88" t="s">
        <v>26</v>
      </c>
      <c r="C28" s="89"/>
      <c r="D28" s="89"/>
      <c r="E28" s="89"/>
      <c r="F28" s="89"/>
      <c r="G28" s="89"/>
      <c r="H28" s="89"/>
      <c r="I28" s="89"/>
      <c r="J28" s="90"/>
      <c r="K28" s="24"/>
      <c r="L28" s="92"/>
      <c r="M28" s="7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/>
      <c r="B29" s="93" t="s">
        <v>27</v>
      </c>
      <c r="C29" s="94"/>
      <c r="D29" s="94"/>
      <c r="E29" s="94"/>
      <c r="F29" s="94"/>
      <c r="G29" s="94"/>
      <c r="H29" s="94"/>
      <c r="I29" s="94"/>
      <c r="J29" s="95"/>
      <c r="K29" s="32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3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6">
    <mergeCell ref="A1:K4"/>
    <mergeCell ref="B6:C6"/>
    <mergeCell ref="D6:I6"/>
    <mergeCell ref="K6:K8"/>
    <mergeCell ref="B7:C7"/>
    <mergeCell ref="D7:I7"/>
    <mergeCell ref="B8:C8"/>
    <mergeCell ref="F8:G8"/>
    <mergeCell ref="G11:I11"/>
    <mergeCell ref="B12:E12"/>
    <mergeCell ref="G12:I12"/>
    <mergeCell ref="B13:D13"/>
    <mergeCell ref="G13:I13"/>
    <mergeCell ref="B14:D14"/>
    <mergeCell ref="B22:K22"/>
    <mergeCell ref="B23:J23"/>
    <mergeCell ref="B24:J24"/>
    <mergeCell ref="B29:J29"/>
    <mergeCell ref="G14:I14"/>
    <mergeCell ref="G15:I15"/>
    <mergeCell ref="G16:I16"/>
    <mergeCell ref="G17:I17"/>
    <mergeCell ref="G18:I18"/>
    <mergeCell ref="G19:I19"/>
    <mergeCell ref="G20:I20"/>
    <mergeCell ref="K23:K29"/>
  </mergeCells>
  <printOptions/>
  <pageMargins bottom="0.984027777777778" footer="0.0" header="0.0" left="0.39375" right="0.39375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75"/>
    <col customWidth="1" min="3" max="3" width="16.75"/>
    <col customWidth="1" min="4" max="4" width="12.75"/>
    <col customWidth="1" min="5" max="5" width="9.13"/>
    <col customWidth="1" min="6" max="6" width="17.88"/>
    <col customWidth="1" min="7" max="7" width="4.75"/>
    <col customWidth="1" min="8" max="12" width="9.13"/>
    <col customWidth="1" min="13" max="26" width="8.63"/>
  </cols>
  <sheetData>
    <row r="1" ht="12.75" customHeight="1">
      <c r="A1" s="96" t="s">
        <v>28</v>
      </c>
      <c r="B1" s="2"/>
      <c r="C1" s="2"/>
      <c r="D1" s="2"/>
      <c r="E1" s="3"/>
      <c r="F1" s="97"/>
      <c r="G1" s="97"/>
      <c r="H1" s="97"/>
      <c r="I1" s="97"/>
      <c r="J1" s="97"/>
      <c r="K1" s="97"/>
      <c r="L1" s="97"/>
      <c r="M1" s="97"/>
      <c r="N1" s="97"/>
      <c r="O1" s="9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E2" s="7"/>
      <c r="F2" s="98"/>
      <c r="G2" s="98"/>
      <c r="H2" s="98"/>
      <c r="I2" s="98"/>
      <c r="J2" s="98"/>
      <c r="K2" s="98"/>
      <c r="L2" s="98"/>
      <c r="M2" s="98"/>
      <c r="N2" s="98"/>
      <c r="O2" s="98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8"/>
      <c r="B3" s="9"/>
      <c r="C3" s="9"/>
      <c r="D3" s="9"/>
      <c r="E3" s="10"/>
      <c r="F3" s="98"/>
      <c r="G3" s="98"/>
      <c r="H3" s="98"/>
      <c r="I3" s="98"/>
      <c r="J3" s="98"/>
      <c r="K3" s="98"/>
      <c r="L3" s="98"/>
      <c r="M3" s="98"/>
      <c r="N3" s="98"/>
      <c r="O3" s="98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99"/>
      <c r="B4" s="100"/>
      <c r="C4" s="100"/>
      <c r="D4" s="100"/>
      <c r="E4" s="101"/>
      <c r="F4" s="98"/>
      <c r="G4" s="98"/>
      <c r="H4" s="98"/>
      <c r="I4" s="98"/>
      <c r="J4" s="98"/>
      <c r="K4" s="98"/>
      <c r="L4" s="98"/>
      <c r="M4" s="98"/>
      <c r="N4" s="98"/>
      <c r="O4" s="98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02"/>
      <c r="B5" s="103"/>
      <c r="C5" s="103"/>
      <c r="D5" s="103"/>
      <c r="E5" s="104"/>
      <c r="F5" s="98"/>
      <c r="G5" s="98"/>
      <c r="H5" s="98"/>
      <c r="I5" s="98"/>
      <c r="J5" s="98"/>
      <c r="K5" s="98"/>
      <c r="L5" s="98"/>
      <c r="M5" s="98"/>
      <c r="N5" s="98"/>
      <c r="O5" s="98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5"/>
      <c r="B6" s="106" t="s">
        <v>29</v>
      </c>
      <c r="C6" s="107" t="s">
        <v>30</v>
      </c>
      <c r="D6" s="108" t="s">
        <v>31</v>
      </c>
      <c r="E6" s="109"/>
      <c r="F6" s="98"/>
      <c r="G6" s="98"/>
      <c r="H6" s="98"/>
      <c r="I6" s="98"/>
      <c r="J6" s="98"/>
      <c r="K6" s="98"/>
      <c r="L6" s="98"/>
      <c r="M6" s="98"/>
      <c r="N6" s="98"/>
      <c r="O6" s="98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5"/>
      <c r="B7" s="110" t="s">
        <v>32</v>
      </c>
      <c r="C7" s="111">
        <v>1.0</v>
      </c>
      <c r="D7" s="112">
        <f>COUNTIF(Atores,B7)</f>
        <v>0</v>
      </c>
      <c r="E7" s="109"/>
      <c r="F7" s="98"/>
      <c r="G7" s="98"/>
      <c r="H7" s="98"/>
      <c r="I7" s="98"/>
      <c r="J7" s="98"/>
      <c r="K7" s="98"/>
      <c r="L7" s="98"/>
      <c r="M7" s="98"/>
      <c r="N7" s="98"/>
      <c r="O7" s="98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5"/>
      <c r="B8" s="113" t="s">
        <v>33</v>
      </c>
      <c r="C8" s="114">
        <v>2.0</v>
      </c>
      <c r="D8" s="115">
        <f>COUNTIF(Atores,B8)</f>
        <v>0</v>
      </c>
      <c r="E8" s="109"/>
      <c r="F8" s="98"/>
      <c r="G8" s="98"/>
      <c r="H8" s="98"/>
      <c r="I8" s="98"/>
      <c r="J8" s="98"/>
      <c r="K8" s="98"/>
      <c r="L8" s="98"/>
      <c r="M8" s="98"/>
      <c r="N8" s="98"/>
      <c r="O8" s="98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5"/>
      <c r="B9" s="116" t="s">
        <v>34</v>
      </c>
      <c r="C9" s="117">
        <v>3.0</v>
      </c>
      <c r="D9" s="118">
        <f>COUNTIF(Atores,B9)</f>
        <v>3</v>
      </c>
      <c r="E9" s="109"/>
      <c r="F9" s="98"/>
      <c r="G9" s="98"/>
      <c r="H9" s="98"/>
      <c r="I9" s="98"/>
      <c r="J9" s="98"/>
      <c r="K9" s="98"/>
      <c r="L9" s="98"/>
      <c r="M9" s="98"/>
      <c r="N9" s="98"/>
      <c r="O9" s="98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5"/>
      <c r="B10" s="119"/>
      <c r="C10" s="120" t="s">
        <v>35</v>
      </c>
      <c r="D10" s="121">
        <f>(C7*D7)+(C8*D8)+(C9*D9)</f>
        <v>9</v>
      </c>
      <c r="E10" s="109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02"/>
      <c r="B11" s="122"/>
      <c r="C11" s="122"/>
      <c r="D11" s="122"/>
      <c r="E11" s="104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02"/>
      <c r="B12" s="123"/>
      <c r="C12" s="123"/>
      <c r="D12" s="124"/>
      <c r="E12" s="104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05"/>
      <c r="B13" s="125" t="s">
        <v>36</v>
      </c>
      <c r="C13" s="126" t="s">
        <v>37</v>
      </c>
      <c r="D13" s="127"/>
      <c r="E13" s="104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05"/>
      <c r="B14" s="128" t="s">
        <v>38</v>
      </c>
      <c r="C14" s="112" t="s">
        <v>34</v>
      </c>
      <c r="D14" s="127"/>
      <c r="E14" s="104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105"/>
      <c r="B15" s="129" t="s">
        <v>39</v>
      </c>
      <c r="C15" s="115" t="s">
        <v>34</v>
      </c>
      <c r="D15" s="127"/>
      <c r="E15" s="104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105"/>
      <c r="B16" s="130" t="s">
        <v>40</v>
      </c>
      <c r="C16" s="118" t="s">
        <v>34</v>
      </c>
      <c r="D16" s="127"/>
      <c r="E16" s="104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05"/>
      <c r="B17" s="131" t="s">
        <v>41</v>
      </c>
      <c r="C17" s="132">
        <v>3.0</v>
      </c>
      <c r="D17" s="127"/>
      <c r="E17" s="104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02"/>
      <c r="B18" s="133"/>
      <c r="C18" s="134"/>
      <c r="D18" s="124"/>
      <c r="E18" s="104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35"/>
      <c r="B19" s="136"/>
      <c r="C19" s="137"/>
      <c r="D19" s="138"/>
      <c r="E19" s="139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98"/>
      <c r="F26" s="98"/>
      <c r="G26" s="98"/>
      <c r="H26" s="9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98"/>
      <c r="F27" s="98"/>
      <c r="G27" s="98"/>
      <c r="H27" s="9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98"/>
      <c r="F28" s="98"/>
      <c r="G28" s="98"/>
      <c r="H28" s="9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3">
    <mergeCell ref="A1:E3"/>
    <mergeCell ref="B18:C18"/>
    <mergeCell ref="A19:C19"/>
  </mergeCells>
  <dataValidations>
    <dataValidation type="list" allowBlank="1" showErrorMessage="1" sqref="C14:C16">
      <formula1>"Simples,Médio,Complexo"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43.88"/>
    <col customWidth="1" min="3" max="3" width="16.75"/>
    <col customWidth="1" min="4" max="4" width="18.13"/>
    <col customWidth="1" min="5" max="5" width="63.88"/>
    <col customWidth="1" min="6" max="6" width="9.38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96" t="s">
        <v>42</v>
      </c>
      <c r="B1" s="2"/>
      <c r="C1" s="2"/>
      <c r="D1" s="2"/>
      <c r="E1" s="3"/>
      <c r="I1" s="5"/>
      <c r="J1" s="5"/>
      <c r="K1" s="5"/>
      <c r="L1" s="5"/>
      <c r="M1" s="5"/>
      <c r="N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E2" s="7"/>
      <c r="F2" s="140"/>
      <c r="G2" s="141"/>
      <c r="I2" s="5"/>
      <c r="J2" s="5"/>
      <c r="K2" s="5"/>
      <c r="L2" s="5"/>
      <c r="M2" s="5"/>
      <c r="N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8"/>
      <c r="B3" s="9"/>
      <c r="C3" s="9"/>
      <c r="D3" s="9"/>
      <c r="E3" s="10"/>
      <c r="F3" s="5"/>
      <c r="G3" s="5"/>
      <c r="I3" s="5"/>
      <c r="J3" s="5"/>
      <c r="K3" s="5"/>
      <c r="L3" s="5"/>
      <c r="M3" s="5"/>
      <c r="N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42"/>
      <c r="B4" s="143"/>
      <c r="C4" s="143"/>
      <c r="D4" s="143"/>
      <c r="E4" s="143"/>
      <c r="F4" s="5"/>
      <c r="G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44"/>
      <c r="B5" s="145"/>
      <c r="C5" s="145"/>
      <c r="D5" s="145"/>
      <c r="E5" s="89"/>
      <c r="F5" s="5"/>
      <c r="G5" s="5"/>
      <c r="I5" s="5"/>
      <c r="J5" s="5"/>
      <c r="K5" s="5"/>
      <c r="L5" s="5"/>
      <c r="M5" s="5"/>
      <c r="N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46"/>
      <c r="B6" s="147" t="s">
        <v>43</v>
      </c>
      <c r="C6" s="148" t="s">
        <v>30</v>
      </c>
      <c r="D6" s="149" t="s">
        <v>44</v>
      </c>
      <c r="E6" s="150"/>
      <c r="F6" s="5"/>
      <c r="G6" s="5"/>
      <c r="I6" s="5"/>
      <c r="J6" s="5"/>
      <c r="K6" s="5"/>
      <c r="L6" s="5"/>
      <c r="M6" s="5"/>
      <c r="N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46"/>
      <c r="B7" s="151" t="s">
        <v>32</v>
      </c>
      <c r="C7" s="152">
        <v>5.0</v>
      </c>
      <c r="D7" s="153">
        <f>COUNTIF(CUC,B7)</f>
        <v>18</v>
      </c>
      <c r="E7" s="154"/>
      <c r="F7" s="5"/>
      <c r="G7" s="5"/>
      <c r="I7" s="5"/>
      <c r="J7" s="5"/>
      <c r="K7" s="5"/>
      <c r="L7" s="5"/>
      <c r="M7" s="5"/>
      <c r="N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46"/>
      <c r="B8" s="155" t="s">
        <v>33</v>
      </c>
      <c r="C8" s="156">
        <v>10.0</v>
      </c>
      <c r="D8" s="157">
        <f>COUNTIF(CUC,B8)</f>
        <v>5</v>
      </c>
      <c r="E8" s="154"/>
      <c r="F8" s="5"/>
      <c r="G8" s="5"/>
      <c r="I8" s="5"/>
      <c r="J8" s="5"/>
      <c r="K8" s="5"/>
      <c r="L8" s="5"/>
      <c r="M8" s="5"/>
      <c r="N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58"/>
      <c r="B9" s="159" t="s">
        <v>34</v>
      </c>
      <c r="C9" s="160">
        <v>15.0</v>
      </c>
      <c r="D9" s="161">
        <f>COUNTIF(CUC,B9)</f>
        <v>0</v>
      </c>
      <c r="E9" s="154"/>
      <c r="F9" s="5"/>
      <c r="G9" s="5"/>
      <c r="I9" s="5"/>
      <c r="J9" s="5"/>
      <c r="K9" s="5"/>
      <c r="L9" s="5"/>
      <c r="M9" s="5"/>
      <c r="N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89"/>
      <c r="C10" s="162" t="s">
        <v>45</v>
      </c>
      <c r="D10" s="163">
        <f>(C7*D7)+(C8*D8)+(C9*D9)</f>
        <v>140</v>
      </c>
      <c r="E10" s="164"/>
      <c r="F10" s="5"/>
      <c r="G10" s="5"/>
      <c r="I10" s="5"/>
      <c r="J10" s="5"/>
      <c r="K10" s="5"/>
      <c r="L10" s="5"/>
      <c r="M10" s="5"/>
      <c r="N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65"/>
      <c r="B11" s="166"/>
      <c r="C11" s="167"/>
      <c r="D11" s="168"/>
      <c r="E11" s="145"/>
      <c r="F11" s="5"/>
      <c r="G11" s="5"/>
      <c r="I11" s="5"/>
      <c r="J11" s="5"/>
      <c r="K11" s="5"/>
      <c r="L11" s="5"/>
      <c r="M11" s="5"/>
      <c r="N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69" t="s">
        <v>46</v>
      </c>
      <c r="B12" s="170" t="s">
        <v>47</v>
      </c>
      <c r="C12" s="171" t="s">
        <v>48</v>
      </c>
      <c r="D12" s="170" t="s">
        <v>37</v>
      </c>
      <c r="E12" s="172" t="s">
        <v>49</v>
      </c>
      <c r="F12" s="5"/>
      <c r="G12" s="5"/>
      <c r="I12" s="5"/>
      <c r="J12" s="5"/>
      <c r="K12" s="5"/>
      <c r="L12" s="5"/>
      <c r="M12" s="5"/>
      <c r="N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73" t="s">
        <v>50</v>
      </c>
      <c r="B13" s="174" t="s">
        <v>51</v>
      </c>
      <c r="C13" s="152">
        <v>1.0</v>
      </c>
      <c r="D13" s="175" t="str">
        <f t="shared" ref="D13:D35" si="1">IF(C13&lt;4,"Simples",(IF(C13&gt;5,"Complexo","Médio")))</f>
        <v>Simples</v>
      </c>
      <c r="E13" s="176" t="s">
        <v>52</v>
      </c>
      <c r="F13" s="5"/>
      <c r="G13" s="5"/>
      <c r="I13" s="5"/>
      <c r="J13" s="5"/>
      <c r="K13" s="5"/>
      <c r="L13" s="5"/>
      <c r="M13" s="5"/>
      <c r="N13" s="5"/>
      <c r="O13" s="177">
        <v>1.0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78" t="s">
        <v>53</v>
      </c>
      <c r="B14" s="174" t="s">
        <v>54</v>
      </c>
      <c r="C14" s="152">
        <v>1.0</v>
      </c>
      <c r="D14" s="175" t="str">
        <f t="shared" si="1"/>
        <v>Simples</v>
      </c>
      <c r="E14" s="176" t="s">
        <v>52</v>
      </c>
      <c r="F14" s="5"/>
      <c r="G14" s="5"/>
      <c r="I14" s="5"/>
      <c r="J14" s="5"/>
      <c r="K14" s="5"/>
      <c r="L14" s="5"/>
      <c r="M14" s="5"/>
      <c r="N14" s="5"/>
      <c r="O14" s="177">
        <v>2.0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78" t="s">
        <v>55</v>
      </c>
      <c r="B15" s="174" t="s">
        <v>56</v>
      </c>
      <c r="C15" s="152">
        <v>1.0</v>
      </c>
      <c r="D15" s="175" t="str">
        <f t="shared" si="1"/>
        <v>Simples</v>
      </c>
      <c r="E15" s="176" t="s">
        <v>52</v>
      </c>
      <c r="F15" s="5"/>
      <c r="G15" s="5"/>
      <c r="I15" s="5"/>
      <c r="J15" s="5"/>
      <c r="K15" s="5"/>
      <c r="L15" s="5"/>
      <c r="M15" s="5"/>
      <c r="N15" s="5"/>
      <c r="O15" s="177">
        <v>3.0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78" t="s">
        <v>57</v>
      </c>
      <c r="B16" s="174" t="s">
        <v>58</v>
      </c>
      <c r="C16" s="152">
        <v>1.0</v>
      </c>
      <c r="D16" s="175" t="str">
        <f t="shared" si="1"/>
        <v>Simples</v>
      </c>
      <c r="E16" s="176" t="s">
        <v>52</v>
      </c>
      <c r="F16" s="5"/>
      <c r="G16" s="5"/>
      <c r="I16" s="5"/>
      <c r="J16" s="5"/>
      <c r="K16" s="5"/>
      <c r="L16" s="5"/>
      <c r="M16" s="5"/>
      <c r="N16" s="5"/>
      <c r="O16" s="177">
        <v>4.0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78" t="s">
        <v>59</v>
      </c>
      <c r="B17" s="179" t="s">
        <v>60</v>
      </c>
      <c r="C17" s="152">
        <v>3.0</v>
      </c>
      <c r="D17" s="175" t="str">
        <f t="shared" si="1"/>
        <v>Simples</v>
      </c>
      <c r="E17" s="180" t="s">
        <v>61</v>
      </c>
      <c r="F17" s="5"/>
      <c r="G17" s="5"/>
      <c r="I17" s="5"/>
      <c r="J17" s="5"/>
      <c r="K17" s="5"/>
      <c r="L17" s="5"/>
      <c r="M17" s="5"/>
      <c r="N17" s="5"/>
      <c r="O17" s="177">
        <v>5.0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78" t="s">
        <v>62</v>
      </c>
      <c r="B18" s="179" t="s">
        <v>63</v>
      </c>
      <c r="C18" s="156">
        <v>4.0</v>
      </c>
      <c r="D18" s="175" t="str">
        <f t="shared" si="1"/>
        <v>Médio</v>
      </c>
      <c r="E18" s="180" t="s">
        <v>64</v>
      </c>
      <c r="F18" s="5"/>
      <c r="G18" s="5"/>
      <c r="H18" s="177"/>
      <c r="I18" s="5"/>
      <c r="J18" s="5"/>
      <c r="K18" s="5"/>
      <c r="L18" s="5"/>
      <c r="M18" s="5"/>
      <c r="N18" s="5"/>
      <c r="O18" s="177">
        <v>6.0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78" t="s">
        <v>65</v>
      </c>
      <c r="B19" s="179" t="s">
        <v>66</v>
      </c>
      <c r="C19" s="156">
        <v>3.0</v>
      </c>
      <c r="D19" s="175" t="str">
        <f t="shared" si="1"/>
        <v>Simples</v>
      </c>
      <c r="E19" s="180" t="s">
        <v>61</v>
      </c>
      <c r="F19" s="5"/>
      <c r="G19" s="5"/>
      <c r="H19" s="177"/>
      <c r="I19" s="5"/>
      <c r="J19" s="5"/>
      <c r="K19" s="5"/>
      <c r="L19" s="5"/>
      <c r="M19" s="5"/>
      <c r="N19" s="5"/>
      <c r="O19" s="177">
        <v>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78" t="s">
        <v>67</v>
      </c>
      <c r="B20" s="179" t="s">
        <v>68</v>
      </c>
      <c r="C20" s="156">
        <v>1.0</v>
      </c>
      <c r="D20" s="175" t="str">
        <f t="shared" si="1"/>
        <v>Simples</v>
      </c>
      <c r="E20" s="180" t="s">
        <v>69</v>
      </c>
      <c r="F20" s="5"/>
      <c r="G20" s="5"/>
      <c r="H20" s="177"/>
      <c r="I20" s="5"/>
      <c r="J20" s="5"/>
      <c r="K20" s="5"/>
      <c r="L20" s="5"/>
      <c r="M20" s="5"/>
      <c r="N20" s="5"/>
      <c r="O20" s="177">
        <v>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78" t="s">
        <v>70</v>
      </c>
      <c r="B21" s="181" t="s">
        <v>71</v>
      </c>
      <c r="C21" s="156">
        <v>3.0</v>
      </c>
      <c r="D21" s="175" t="str">
        <f t="shared" si="1"/>
        <v>Simples</v>
      </c>
      <c r="E21" s="180" t="s">
        <v>72</v>
      </c>
      <c r="F21" s="5"/>
      <c r="G21" s="5"/>
      <c r="H21" s="177"/>
      <c r="I21" s="5"/>
      <c r="J21" s="5"/>
      <c r="K21" s="5"/>
      <c r="L21" s="5"/>
      <c r="M21" s="5"/>
      <c r="N21" s="5"/>
      <c r="O21" s="177">
        <v>9.0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78" t="s">
        <v>73</v>
      </c>
      <c r="B22" s="182" t="s">
        <v>74</v>
      </c>
      <c r="C22" s="156">
        <v>3.0</v>
      </c>
      <c r="D22" s="175" t="str">
        <f t="shared" si="1"/>
        <v>Simples</v>
      </c>
      <c r="E22" s="180" t="s">
        <v>72</v>
      </c>
      <c r="F22" s="5"/>
      <c r="G22" s="5"/>
      <c r="H22" s="177"/>
      <c r="I22" s="5"/>
      <c r="J22" s="5"/>
      <c r="K22" s="5"/>
      <c r="L22" s="5"/>
      <c r="M22" s="5"/>
      <c r="N22" s="5"/>
      <c r="O22" s="177">
        <v>10.0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78" t="s">
        <v>75</v>
      </c>
      <c r="B23" s="182" t="s">
        <v>76</v>
      </c>
      <c r="C23" s="156">
        <v>3.0</v>
      </c>
      <c r="D23" s="175" t="str">
        <f t="shared" si="1"/>
        <v>Simples</v>
      </c>
      <c r="E23" s="180" t="s">
        <v>72</v>
      </c>
      <c r="F23" s="5"/>
      <c r="G23" s="5"/>
      <c r="H23" s="5"/>
      <c r="I23" s="5"/>
      <c r="J23" s="5"/>
      <c r="K23" s="5"/>
      <c r="L23" s="5"/>
      <c r="M23" s="5"/>
      <c r="N23" s="5"/>
      <c r="O23" s="177">
        <v>11.0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83" t="s">
        <v>77</v>
      </c>
      <c r="B24" s="182" t="s">
        <v>78</v>
      </c>
      <c r="C24" s="156">
        <v>1.0</v>
      </c>
      <c r="D24" s="175" t="str">
        <f t="shared" si="1"/>
        <v>Simples</v>
      </c>
      <c r="E24" s="180" t="s">
        <v>79</v>
      </c>
      <c r="F24" s="5"/>
      <c r="G24" s="5"/>
      <c r="H24" s="5"/>
      <c r="I24" s="5"/>
      <c r="J24" s="5"/>
      <c r="K24" s="5"/>
      <c r="L24" s="5"/>
      <c r="M24" s="5"/>
      <c r="N24" s="5"/>
      <c r="O24" s="177">
        <v>12.0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83" t="s">
        <v>80</v>
      </c>
      <c r="B25" s="179" t="s">
        <v>81</v>
      </c>
      <c r="C25" s="156">
        <v>4.0</v>
      </c>
      <c r="D25" s="175" t="str">
        <f t="shared" si="1"/>
        <v>Médio</v>
      </c>
      <c r="E25" s="180" t="s">
        <v>82</v>
      </c>
      <c r="F25" s="5"/>
      <c r="G25" s="5"/>
      <c r="H25" s="5"/>
      <c r="I25" s="5"/>
      <c r="J25" s="5"/>
      <c r="K25" s="5"/>
      <c r="L25" s="5"/>
      <c r="M25" s="5"/>
      <c r="N25" s="5"/>
      <c r="O25" s="177">
        <v>13.0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83" t="s">
        <v>83</v>
      </c>
      <c r="B26" s="179" t="s">
        <v>84</v>
      </c>
      <c r="C26" s="156">
        <v>4.0</v>
      </c>
      <c r="D26" s="175" t="str">
        <f t="shared" si="1"/>
        <v>Médio</v>
      </c>
      <c r="E26" s="180" t="s">
        <v>82</v>
      </c>
      <c r="F26" s="5"/>
      <c r="G26" s="5"/>
      <c r="H26" s="5"/>
      <c r="I26" s="5"/>
      <c r="J26" s="5"/>
      <c r="K26" s="5"/>
      <c r="L26" s="5"/>
      <c r="M26" s="5"/>
      <c r="N26" s="5"/>
      <c r="O26" s="177">
        <v>14.0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83" t="s">
        <v>85</v>
      </c>
      <c r="B27" s="179" t="s">
        <v>86</v>
      </c>
      <c r="C27" s="156">
        <v>2.0</v>
      </c>
      <c r="D27" s="175" t="str">
        <f t="shared" si="1"/>
        <v>Simples</v>
      </c>
      <c r="E27" s="180" t="s">
        <v>87</v>
      </c>
      <c r="F27" s="5"/>
      <c r="G27" s="5"/>
      <c r="H27" s="5"/>
      <c r="I27" s="5"/>
      <c r="J27" s="5"/>
      <c r="K27" s="5"/>
      <c r="L27" s="5"/>
      <c r="M27" s="5"/>
      <c r="N27" s="5"/>
      <c r="O27" s="177">
        <v>15.0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83" t="s">
        <v>88</v>
      </c>
      <c r="B28" s="179" t="s">
        <v>89</v>
      </c>
      <c r="C28" s="156">
        <v>1.0</v>
      </c>
      <c r="D28" s="175" t="str">
        <f t="shared" si="1"/>
        <v>Simples</v>
      </c>
      <c r="E28" s="180" t="s">
        <v>90</v>
      </c>
      <c r="F28" s="5"/>
      <c r="G28" s="5"/>
      <c r="H28" s="5"/>
      <c r="I28" s="5"/>
      <c r="J28" s="5"/>
      <c r="K28" s="5"/>
      <c r="L28" s="5"/>
      <c r="M28" s="5"/>
      <c r="N28" s="5"/>
      <c r="O28" s="177">
        <v>16.0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83" t="s">
        <v>91</v>
      </c>
      <c r="B29" s="181" t="s">
        <v>92</v>
      </c>
      <c r="C29" s="156">
        <v>3.0</v>
      </c>
      <c r="D29" s="175" t="str">
        <f t="shared" si="1"/>
        <v>Simples</v>
      </c>
      <c r="E29" s="180" t="s">
        <v>93</v>
      </c>
      <c r="F29" s="5"/>
      <c r="G29" s="5"/>
      <c r="H29" s="5"/>
      <c r="I29" s="5"/>
      <c r="J29" s="5"/>
      <c r="K29" s="5"/>
      <c r="L29" s="5"/>
      <c r="M29" s="5"/>
      <c r="N29" s="5"/>
      <c r="O29" s="177">
        <v>17.0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83" t="s">
        <v>94</v>
      </c>
      <c r="B30" s="181" t="s">
        <v>95</v>
      </c>
      <c r="C30" s="156">
        <v>3.0</v>
      </c>
      <c r="D30" s="175" t="str">
        <f t="shared" si="1"/>
        <v>Simples</v>
      </c>
      <c r="E30" s="180" t="s">
        <v>93</v>
      </c>
      <c r="F30" s="5"/>
      <c r="G30" s="5"/>
      <c r="H30" s="5"/>
      <c r="I30" s="5"/>
      <c r="J30" s="5"/>
      <c r="K30" s="5"/>
      <c r="L30" s="5"/>
      <c r="M30" s="5"/>
      <c r="N30" s="5"/>
      <c r="O30" s="177">
        <v>18.0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83" t="s">
        <v>96</v>
      </c>
      <c r="B31" s="181" t="s">
        <v>97</v>
      </c>
      <c r="C31" s="156">
        <v>2.0</v>
      </c>
      <c r="D31" s="175" t="str">
        <f t="shared" si="1"/>
        <v>Simples</v>
      </c>
      <c r="E31" s="180" t="s">
        <v>98</v>
      </c>
      <c r="F31" s="5"/>
      <c r="G31" s="5"/>
      <c r="H31" s="5"/>
      <c r="I31" s="5"/>
      <c r="J31" s="5"/>
      <c r="K31" s="5"/>
      <c r="L31" s="5"/>
      <c r="M31" s="5"/>
      <c r="N31" s="5"/>
      <c r="O31" s="177">
        <v>19.0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83" t="s">
        <v>99</v>
      </c>
      <c r="B32" s="181" t="s">
        <v>100</v>
      </c>
      <c r="C32" s="156">
        <v>1.0</v>
      </c>
      <c r="D32" s="175" t="str">
        <f t="shared" si="1"/>
        <v>Simples</v>
      </c>
      <c r="E32" s="180" t="s">
        <v>101</v>
      </c>
      <c r="F32" s="5"/>
      <c r="G32" s="5"/>
      <c r="H32" s="5"/>
      <c r="I32" s="5"/>
      <c r="J32" s="5"/>
      <c r="K32" s="5"/>
      <c r="L32" s="5"/>
      <c r="M32" s="5"/>
      <c r="N32" s="5"/>
      <c r="O32" s="177">
        <v>21.0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83" t="s">
        <v>102</v>
      </c>
      <c r="B33" s="181" t="s">
        <v>103</v>
      </c>
      <c r="C33" s="156">
        <v>5.0</v>
      </c>
      <c r="D33" s="175" t="str">
        <f t="shared" si="1"/>
        <v>Médio</v>
      </c>
      <c r="E33" s="180" t="s">
        <v>104</v>
      </c>
      <c r="F33" s="5"/>
      <c r="G33" s="5"/>
      <c r="H33" s="5"/>
      <c r="I33" s="5"/>
      <c r="J33" s="5"/>
      <c r="K33" s="5"/>
      <c r="L33" s="5"/>
      <c r="M33" s="5"/>
      <c r="N33" s="5"/>
      <c r="O33" s="177">
        <v>22.0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83" t="s">
        <v>105</v>
      </c>
      <c r="B34" s="179" t="s">
        <v>106</v>
      </c>
      <c r="C34" s="156">
        <v>3.0</v>
      </c>
      <c r="D34" s="175" t="str">
        <f t="shared" si="1"/>
        <v>Simples</v>
      </c>
      <c r="E34" s="180" t="s">
        <v>107</v>
      </c>
      <c r="F34" s="5"/>
      <c r="G34" s="5"/>
      <c r="H34" s="5"/>
      <c r="I34" s="5"/>
      <c r="J34" s="5"/>
      <c r="K34" s="5"/>
      <c r="L34" s="5"/>
      <c r="M34" s="5"/>
      <c r="N34" s="5"/>
      <c r="O34" s="177">
        <v>23.0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83" t="s">
        <v>108</v>
      </c>
      <c r="B35" s="179" t="s">
        <v>109</v>
      </c>
      <c r="C35" s="156">
        <v>5.0</v>
      </c>
      <c r="D35" s="175" t="str">
        <f t="shared" si="1"/>
        <v>Médio</v>
      </c>
      <c r="E35" s="180" t="s">
        <v>110</v>
      </c>
      <c r="F35" s="5"/>
      <c r="G35" s="5"/>
      <c r="H35" s="5"/>
      <c r="I35" s="5"/>
      <c r="J35" s="5"/>
      <c r="K35" s="5"/>
      <c r="L35" s="5"/>
      <c r="M35" s="5"/>
      <c r="N35" s="5"/>
      <c r="O35" s="177">
        <v>24.0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83"/>
      <c r="B36" s="179"/>
      <c r="C36" s="156"/>
      <c r="D36" s="175"/>
      <c r="E36" s="180"/>
      <c r="F36" s="5"/>
      <c r="G36" s="5"/>
      <c r="H36" s="5"/>
      <c r="I36" s="5"/>
      <c r="J36" s="5"/>
      <c r="K36" s="5"/>
      <c r="L36" s="5"/>
      <c r="M36" s="5"/>
      <c r="N36" s="5"/>
      <c r="O36" s="177">
        <v>25.0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83"/>
      <c r="B37" s="179"/>
      <c r="C37" s="156"/>
      <c r="D37" s="175"/>
      <c r="E37" s="180"/>
      <c r="F37" s="5"/>
      <c r="G37" s="5"/>
      <c r="H37" s="5"/>
      <c r="I37" s="5"/>
      <c r="J37" s="5"/>
      <c r="K37" s="5"/>
      <c r="L37" s="5"/>
      <c r="M37" s="5"/>
      <c r="N37" s="5"/>
      <c r="O37" s="177">
        <v>26.0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83"/>
      <c r="B38" s="179"/>
      <c r="C38" s="156"/>
      <c r="D38" s="175"/>
      <c r="E38" s="180"/>
      <c r="F38" s="5"/>
      <c r="G38" s="5"/>
      <c r="H38" s="5"/>
      <c r="I38" s="5"/>
      <c r="J38" s="5"/>
      <c r="K38" s="5"/>
      <c r="L38" s="5"/>
      <c r="M38" s="5"/>
      <c r="N38" s="5"/>
      <c r="O38" s="177">
        <v>27.0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83"/>
      <c r="B39" s="179"/>
      <c r="C39" s="160"/>
      <c r="D39" s="175"/>
      <c r="E39" s="180"/>
      <c r="F39" s="5"/>
      <c r="G39" s="5"/>
      <c r="H39" s="5"/>
      <c r="I39" s="5"/>
      <c r="J39" s="5"/>
      <c r="K39" s="5"/>
      <c r="L39" s="5"/>
      <c r="M39" s="5"/>
      <c r="N39" s="5"/>
      <c r="O39" s="177">
        <v>28.0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84" t="s">
        <v>41</v>
      </c>
      <c r="B40" s="185">
        <f>SUBTOTAL(103,B13:B39)</f>
        <v>23</v>
      </c>
      <c r="C40" s="186"/>
      <c r="D40" s="186"/>
      <c r="E40" s="187"/>
      <c r="F40" s="5"/>
      <c r="G40" s="5"/>
      <c r="H40" s="5"/>
      <c r="I40" s="5"/>
      <c r="J40" s="5"/>
      <c r="K40" s="5"/>
      <c r="L40" s="5"/>
      <c r="M40" s="5"/>
      <c r="N40" s="5"/>
      <c r="O40" s="177">
        <v>29.0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77">
        <v>30.0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77">
        <v>31.0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77">
        <v>32.0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77">
        <v>33.0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188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77">
        <v>34.0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18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77">
        <v>35.0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18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77">
        <v>36.0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188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77">
        <v>37.0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77">
        <v>38.0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77">
        <v>39.0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77">
        <v>40.0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77">
        <v>41.0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77">
        <v>42.0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77">
        <v>43.0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77">
        <v>44.0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77">
        <v>45.0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77">
        <v>46.0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77">
        <v>47.0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77">
        <v>48.0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77">
        <v>49.0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77">
        <v>50.0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77">
        <v>51.0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77">
        <v>52.0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77">
        <v>53.0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77">
        <v>54.0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77">
        <v>55.0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77">
        <v>56.0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77">
        <v>57.0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77">
        <v>58.0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77">
        <v>59.0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77">
        <v>60.0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77">
        <v>61.0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77">
        <v>62.0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77">
        <v>63.0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77">
        <v>64.0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77">
        <v>65.0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77">
        <v>66.0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77">
        <v>67.0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77">
        <v>68.0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77">
        <v>69.0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77">
        <v>70.0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77">
        <v>71.0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77">
        <v>72.0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77">
        <v>73.0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77">
        <v>74.0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77">
        <v>75.0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77">
        <v>76.0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77">
        <v>77.0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77">
        <v>78.0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77">
        <v>79.0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77">
        <v>80.0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77">
        <v>81.0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77">
        <v>82.0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77">
        <v>83.0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77">
        <v>84.0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77">
        <v>85.0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77">
        <v>86.0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77">
        <v>87.0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77">
        <v>88.0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77">
        <v>89.0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77">
        <v>90.0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77">
        <v>91.0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77">
        <v>92.0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77">
        <v>93.0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77">
        <v>94.0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77">
        <v>95.0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77">
        <v>96.0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77">
        <v>97.0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77">
        <v>98.0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77">
        <v>99.0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77">
        <v>100.0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77">
        <v>101.0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77">
        <v>102.0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77">
        <v>103.0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77">
        <v>104.0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77">
        <v>105.0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77">
        <v>106.0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77">
        <v>107.0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77">
        <v>108.0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77">
        <v>109.0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77">
        <v>110.0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77">
        <v>111.0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77">
        <v>112.0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77">
        <v>113.0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77">
        <v>114.0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77">
        <v>115.0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77">
        <v>116.0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77">
        <v>117.0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77">
        <v>118.0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77">
        <v>119.0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77">
        <v>120.0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77">
        <v>121.0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77">
        <v>122.0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77">
        <v>123.0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77">
        <v>124.0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77">
        <v>125.0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77">
        <v>126.0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77">
        <v>127.0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77">
        <v>128.0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77">
        <v>129.0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77">
        <v>130.0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77">
        <v>131.0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77">
        <v>132.0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77">
        <v>133.0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77">
        <v>134.0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77">
        <v>135.0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77">
        <v>136.0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77">
        <v>137.0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77">
        <v>138.0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77">
        <v>139.0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77">
        <v>140.0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77">
        <v>141.0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77">
        <v>142.0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77">
        <v>143.0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77">
        <v>144.0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77">
        <v>145.0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77">
        <v>146.0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77">
        <v>147.0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77">
        <v>148.0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77">
        <v>149.0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77">
        <v>150.0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77">
        <v>151.0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77">
        <v>152.0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77">
        <v>153.0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77">
        <v>154.0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77">
        <v>155.0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77">
        <v>156.0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77">
        <v>157.0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77">
        <v>158.0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77">
        <v>159.0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77">
        <v>160.0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77">
        <v>161.0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77">
        <v>162.0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77">
        <v>163.0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77">
        <v>164.0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77">
        <v>165.0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77">
        <v>166.0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77">
        <v>167.0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77">
        <v>168.0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77">
        <v>169.0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77">
        <v>170.0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77">
        <v>171.0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77">
        <v>172.0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77">
        <v>173.0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77">
        <v>174.0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77">
        <v>175.0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77">
        <v>176.0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77">
        <v>177.0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77">
        <v>178.0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77">
        <v>179.0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77">
        <v>180.0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77">
        <v>181.0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77">
        <v>182.0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77">
        <v>183.0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77">
        <v>184.0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77">
        <v>185.0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77">
        <v>186.0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77">
        <v>187.0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77">
        <v>188.0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77">
        <v>189.0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77">
        <v>190.0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77">
        <v>191.0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77">
        <v>192.0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77">
        <v>193.0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77">
        <v>194.0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77">
        <v>195.0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77">
        <v>196.0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77">
        <v>197.0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77">
        <v>198.0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77">
        <v>199.0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77">
        <v>200.0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77">
        <v>201.0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77">
        <v>202.0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77">
        <v>203.0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77">
        <v>204.0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77">
        <v>205.0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77">
        <v>206.0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77">
        <v>207.0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77">
        <v>208.0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77">
        <v>209.0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77">
        <v>210.0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77">
        <v>211.0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77">
        <v>212.0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77">
        <v>213.0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77">
        <v>214.0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77">
        <v>215.0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77">
        <v>216.0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77">
        <v>217.0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77">
        <v>218.0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77">
        <v>219.0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77">
        <v>220.0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77">
        <v>221.0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77">
        <v>222.0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77">
        <v>223.0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77">
        <v>224.0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77">
        <v>225.0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77">
        <v>226.0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77">
        <v>227.0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77">
        <v>228.0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77">
        <v>229.0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77">
        <v>230.0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77">
        <v>231.0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77">
        <v>232.0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77">
        <v>233.0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77">
        <v>234.0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77">
        <v>235.0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77">
        <v>236.0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77">
        <v>237.0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77">
        <v>238.0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77">
        <v>239.0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77">
        <v>240.0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77">
        <v>241.0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77">
        <v>242.0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77">
        <v>243.0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77">
        <v>244.0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77">
        <v>245.0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77">
        <v>246.0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77">
        <v>247.0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77">
        <v>248.0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77">
        <v>249.0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77">
        <v>250.0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77">
        <v>251.0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77">
        <v>252.0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77">
        <v>253.0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77">
        <v>254.0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77">
        <v>255.0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77">
        <v>256.0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77">
        <v>257.0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77">
        <v>258.0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77">
        <v>259.0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77">
        <v>260.0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77">
        <v>261.0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77">
        <v>262.0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77">
        <v>263.0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77">
        <v>264.0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77">
        <v>265.0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77">
        <v>266.0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77">
        <v>267.0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77">
        <v>268.0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77">
        <v>269.0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77">
        <v>270.0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77">
        <v>271.0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77">
        <v>272.0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77">
        <v>273.0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77">
        <v>274.0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77">
        <v>275.0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77">
        <v>276.0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77">
        <v>277.0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77">
        <v>278.0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77">
        <v>279.0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77">
        <v>280.0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77">
        <v>281.0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77">
        <v>282.0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77">
        <v>283.0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77">
        <v>284.0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77">
        <v>285.0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77">
        <v>286.0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77">
        <v>287.0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77">
        <v>288.0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77">
        <v>289.0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77">
        <v>290.0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77">
        <v>291.0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77">
        <v>292.0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77">
        <v>293.0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77">
        <v>294.0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77">
        <v>295.0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77">
        <v>296.0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77">
        <v>297.0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77">
        <v>298.0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77">
        <v>299.0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77">
        <v>300.0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77">
        <v>301.0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77">
        <v>302.0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77">
        <v>303.0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77">
        <v>304.0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77">
        <v>305.0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77">
        <v>306.0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77">
        <v>307.0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77">
        <v>308.0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77">
        <v>309.0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77">
        <v>310.0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77">
        <v>311.0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77">
        <v>312.0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77">
        <v>313.0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77">
        <v>314.0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77">
        <v>315.0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77">
        <v>316.0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77">
        <v>317.0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77">
        <v>318.0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77">
        <v>319.0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77">
        <v>320.0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77">
        <v>321.0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77">
        <v>322.0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77">
        <v>323.0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77">
        <v>324.0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77">
        <v>325.0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77">
        <v>326.0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77">
        <v>327.0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77">
        <v>328.0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77">
        <v>329.0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77">
        <v>330.0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77">
        <v>331.0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77">
        <v>332.0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77">
        <v>333.0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77">
        <v>334.0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77">
        <v>335.0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77">
        <v>336.0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77">
        <v>337.0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77">
        <v>338.0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77">
        <v>339.0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77">
        <v>340.0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77">
        <v>341.0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77">
        <v>342.0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77">
        <v>343.0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77">
        <v>344.0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77">
        <v>345.0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77">
        <v>346.0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77">
        <v>347.0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77">
        <v>348.0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77">
        <v>349.0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77">
        <v>350.0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77">
        <v>351.0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77">
        <v>352.0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77">
        <v>353.0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77">
        <v>354.0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77">
        <v>355.0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77">
        <v>356.0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77">
        <v>357.0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77">
        <v>358.0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77">
        <v>359.0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77">
        <v>360.0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77">
        <v>361.0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77">
        <v>362.0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77">
        <v>363.0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77">
        <v>364.0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77">
        <v>365.0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77">
        <v>366.0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77">
        <v>367.0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77">
        <v>368.0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77">
        <v>369.0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77">
        <v>370.0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77">
        <v>371.0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77">
        <v>372.0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77">
        <v>373.0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77">
        <v>374.0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77">
        <v>375.0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77">
        <v>376.0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77">
        <v>377.0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77">
        <v>378.0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77">
        <v>379.0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77">
        <v>380.0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77">
        <v>381.0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77">
        <v>382.0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77">
        <v>383.0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77">
        <v>384.0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77">
        <v>385.0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77">
        <v>386.0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77">
        <v>387.0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77">
        <v>388.0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77">
        <v>389.0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77">
        <v>390.0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77">
        <v>391.0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77">
        <v>392.0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77">
        <v>393.0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77">
        <v>394.0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77">
        <v>395.0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77">
        <v>396.0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77">
        <v>397.0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77">
        <v>398.0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77">
        <v>399.0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77">
        <v>400.0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77">
        <v>401.0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77">
        <v>402.0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77">
        <v>403.0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77">
        <v>404.0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77">
        <v>405.0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77">
        <v>406.0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77">
        <v>407.0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77">
        <v>408.0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77">
        <v>409.0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77">
        <v>410.0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77">
        <v>411.0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77">
        <v>412.0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77">
        <v>413.0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77">
        <v>414.0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77">
        <v>415.0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77">
        <v>416.0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77">
        <v>417.0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77">
        <v>418.0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77">
        <v>419.0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77">
        <v>420.0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77">
        <v>421.0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77">
        <v>422.0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77">
        <v>423.0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77">
        <v>424.0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77">
        <v>425.0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77">
        <v>426.0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77">
        <v>427.0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77">
        <v>428.0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77">
        <v>429.0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77">
        <v>430.0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77">
        <v>431.0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77">
        <v>432.0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77">
        <v>433.0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77">
        <v>434.0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77">
        <v>435.0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77">
        <v>436.0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77">
        <v>437.0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77">
        <v>438.0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77">
        <v>439.0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77">
        <v>440.0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77">
        <v>441.0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77">
        <v>442.0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77">
        <v>443.0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77">
        <v>444.0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77">
        <v>445.0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77">
        <v>446.0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77">
        <v>447.0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77">
        <v>448.0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77">
        <v>449.0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77">
        <v>450.0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77">
        <v>451.0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77">
        <v>452.0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77">
        <v>453.0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77">
        <v>454.0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77">
        <v>455.0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77">
        <v>456.0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77">
        <v>457.0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77">
        <v>458.0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77">
        <v>459.0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77">
        <v>460.0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77">
        <v>461.0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77">
        <v>462.0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77">
        <v>463.0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77">
        <v>464.0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77">
        <v>465.0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77">
        <v>466.0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77">
        <v>467.0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77">
        <v>468.0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77">
        <v>469.0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77">
        <v>470.0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77">
        <v>471.0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77">
        <v>472.0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77">
        <v>473.0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77">
        <v>474.0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77">
        <v>475.0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77">
        <v>476.0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77">
        <v>477.0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77">
        <v>478.0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77">
        <v>479.0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77">
        <v>480.0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77">
        <v>481.0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77">
        <v>482.0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77">
        <v>483.0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77">
        <v>484.0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77">
        <v>485.0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77">
        <v>486.0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77">
        <v>487.0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77">
        <v>488.0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77">
        <v>489.0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77">
        <v>490.0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77">
        <v>491.0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177">
        <v>492.0</v>
      </c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177">
        <v>493.0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177">
        <v>494.0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177">
        <v>495.0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177">
        <v>496.0</v>
      </c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177">
        <v>497.0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177">
        <v>498.0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177">
        <v>499.0</v>
      </c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177">
        <v>500.0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177">
        <v>501.0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177">
        <v>502.0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177">
        <v>503.0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177">
        <v>504.0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177">
        <v>505.0</v>
      </c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177">
        <v>506.0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177">
        <v>507.0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177">
        <v>508.0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177">
        <v>509.0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177">
        <v>510.0</v>
      </c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177">
        <v>511.0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177">
        <v>512.0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177">
        <v>513.0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177">
        <v>514.0</v>
      </c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177">
        <v>515.0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177">
        <v>516.0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177">
        <v>517.0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177">
        <v>518.0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177">
        <v>519.0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177">
        <v>520.0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177">
        <v>521.0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177">
        <v>522.0</v>
      </c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177">
        <v>523.0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177">
        <v>524.0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177">
        <v>525.0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177">
        <v>526.0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177">
        <v>527.0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177">
        <v>528.0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177">
        <v>529.0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177">
        <v>530.0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177">
        <v>531.0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177">
        <v>532.0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177">
        <v>533.0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177">
        <v>534.0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177">
        <v>535.0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177">
        <v>536.0</v>
      </c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177">
        <v>537.0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177">
        <v>538.0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177">
        <v>539.0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177">
        <v>540.0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177">
        <v>541.0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177">
        <v>542.0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177">
        <v>543.0</v>
      </c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177">
        <v>544.0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177">
        <v>545.0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177">
        <v>546.0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177">
        <v>547.0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177">
        <v>548.0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177">
        <v>549.0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177">
        <v>550.0</v>
      </c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177">
        <v>551.0</v>
      </c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177">
        <v>552.0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177">
        <v>553.0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177">
        <v>554.0</v>
      </c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177">
        <v>555.0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177">
        <v>556.0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177">
        <v>557.0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177">
        <v>558.0</v>
      </c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177">
        <v>559.0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177">
        <v>560.0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177">
        <v>561.0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177">
        <v>562.0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177">
        <v>563.0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177">
        <v>564.0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177">
        <v>565.0</v>
      </c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177">
        <v>566.0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177">
        <v>567.0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177">
        <v>568.0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177">
        <v>569.0</v>
      </c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177">
        <v>570.0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177">
        <v>571.0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177">
        <v>572.0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177">
        <v>573.0</v>
      </c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177">
        <v>574.0</v>
      </c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177">
        <v>575.0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177">
        <v>576.0</v>
      </c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177">
        <v>577.0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177">
        <v>578.0</v>
      </c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177">
        <v>579.0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177">
        <v>580.0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177">
        <v>581.0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177">
        <v>582.0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177">
        <v>583.0</v>
      </c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177">
        <v>584.0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177">
        <v>585.0</v>
      </c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177">
        <v>586.0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177">
        <v>587.0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177">
        <v>588.0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177">
        <v>589.0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177">
        <v>590.0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177">
        <v>591.0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177">
        <v>592.0</v>
      </c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177">
        <v>593.0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177">
        <v>594.0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177">
        <v>595.0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177">
        <v>596.0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177">
        <v>597.0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177">
        <v>598.0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177">
        <v>599.0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177">
        <v>600.0</v>
      </c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177">
        <v>601.0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177">
        <v>602.0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177">
        <v>603.0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177">
        <v>604.0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177">
        <v>605.0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177">
        <v>606.0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177">
        <v>607.0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177">
        <v>608.0</v>
      </c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177">
        <v>609.0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177">
        <v>610.0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177">
        <v>611.0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177">
        <v>612.0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177">
        <v>613.0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177">
        <v>614.0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177">
        <v>615.0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177">
        <v>616.0</v>
      </c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177">
        <v>617.0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177">
        <v>618.0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177">
        <v>619.0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177">
        <v>620.0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177">
        <v>621.0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177">
        <v>622.0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177">
        <v>623.0</v>
      </c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177">
        <v>624.0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177">
        <v>625.0</v>
      </c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177">
        <v>626.0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177">
        <v>627.0</v>
      </c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177">
        <v>628.0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177">
        <v>629.0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177">
        <v>630.0</v>
      </c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177">
        <v>631.0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177">
        <v>632.0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177">
        <v>633.0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177">
        <v>634.0</v>
      </c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177">
        <v>635.0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177">
        <v>636.0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177">
        <v>637.0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177">
        <v>638.0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177">
        <v>639.0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177">
        <v>640.0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177">
        <v>641.0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177">
        <v>642.0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177">
        <v>643.0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177">
        <v>644.0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177">
        <v>645.0</v>
      </c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177">
        <v>646.0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177">
        <v>647.0</v>
      </c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177">
        <v>648.0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177">
        <v>649.0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177">
        <v>650.0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177">
        <v>651.0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177">
        <v>652.0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177">
        <v>653.0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177">
        <v>654.0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177">
        <v>655.0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177">
        <v>656.0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177">
        <v>657.0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177">
        <v>658.0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177">
        <v>659.0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177">
        <v>660.0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177">
        <v>661.0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177">
        <v>662.0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177">
        <v>663.0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177">
        <v>664.0</v>
      </c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177">
        <v>665.0</v>
      </c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177">
        <v>666.0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177">
        <v>667.0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177">
        <v>668.0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177">
        <v>669.0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177">
        <v>670.0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177">
        <v>671.0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177">
        <v>672.0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177">
        <v>673.0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177">
        <v>674.0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177">
        <v>675.0</v>
      </c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177">
        <v>676.0</v>
      </c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177">
        <v>677.0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177">
        <v>678.0</v>
      </c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177">
        <v>679.0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177">
        <v>680.0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177">
        <v>681.0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177">
        <v>682.0</v>
      </c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177">
        <v>683.0</v>
      </c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177">
        <v>684.0</v>
      </c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177">
        <v>685.0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177">
        <v>686.0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177">
        <v>687.0</v>
      </c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177">
        <v>688.0</v>
      </c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177">
        <v>689.0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177">
        <v>690.0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177">
        <v>691.0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177">
        <v>692.0</v>
      </c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177">
        <v>693.0</v>
      </c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177">
        <v>694.0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177">
        <v>695.0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177">
        <v>696.0</v>
      </c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177">
        <v>697.0</v>
      </c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177">
        <v>698.0</v>
      </c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177">
        <v>699.0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177">
        <v>700.0</v>
      </c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177">
        <v>701.0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177">
        <v>702.0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177">
        <v>703.0</v>
      </c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177">
        <v>704.0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177">
        <v>705.0</v>
      </c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177">
        <v>706.0</v>
      </c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177">
        <v>707.0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177">
        <v>708.0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177">
        <v>709.0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177">
        <v>710.0</v>
      </c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177">
        <v>711.0</v>
      </c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177">
        <v>712.0</v>
      </c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177">
        <v>713.0</v>
      </c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177">
        <v>714.0</v>
      </c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177">
        <v>715.0</v>
      </c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177">
        <v>716.0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177">
        <v>717.0</v>
      </c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177">
        <v>718.0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177">
        <v>719.0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177">
        <v>720.0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177">
        <v>721.0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177">
        <v>722.0</v>
      </c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177">
        <v>723.0</v>
      </c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177">
        <v>724.0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177">
        <v>725.0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177">
        <v>726.0</v>
      </c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177">
        <v>727.0</v>
      </c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177">
        <v>728.0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177">
        <v>729.0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177">
        <v>730.0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177">
        <v>731.0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177">
        <v>732.0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177">
        <v>733.0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177">
        <v>734.0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177">
        <v>735.0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177">
        <v>736.0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177">
        <v>737.0</v>
      </c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177">
        <v>738.0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177">
        <v>739.0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177">
        <v>740.0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177">
        <v>741.0</v>
      </c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177">
        <v>742.0</v>
      </c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177">
        <v>743.0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177">
        <v>744.0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177">
        <v>745.0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177">
        <v>746.0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177">
        <v>747.0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177">
        <v>748.0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177">
        <v>749.0</v>
      </c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177">
        <v>750.0</v>
      </c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177">
        <v>751.0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177">
        <v>752.0</v>
      </c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177">
        <v>753.0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177">
        <v>754.0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177">
        <v>755.0</v>
      </c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177">
        <v>756.0</v>
      </c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177">
        <v>757.0</v>
      </c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177">
        <v>758.0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177">
        <v>759.0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177">
        <v>760.0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177">
        <v>761.0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177">
        <v>762.0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177">
        <v>763.0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177">
        <v>764.0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177">
        <v>765.0</v>
      </c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177">
        <v>766.0</v>
      </c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177">
        <v>767.0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177">
        <v>768.0</v>
      </c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177">
        <v>769.0</v>
      </c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177">
        <v>770.0</v>
      </c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177">
        <v>771.0</v>
      </c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177">
        <v>772.0</v>
      </c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177">
        <v>773.0</v>
      </c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177">
        <v>774.0</v>
      </c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177">
        <v>775.0</v>
      </c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177">
        <v>776.0</v>
      </c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177">
        <v>777.0</v>
      </c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177">
        <v>778.0</v>
      </c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177">
        <v>779.0</v>
      </c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177">
        <v>780.0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177">
        <v>781.0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177">
        <v>782.0</v>
      </c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177">
        <v>783.0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177">
        <v>784.0</v>
      </c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177">
        <v>785.0</v>
      </c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177">
        <v>786.0</v>
      </c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177">
        <v>787.0</v>
      </c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177">
        <v>788.0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177">
        <v>789.0</v>
      </c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177">
        <v>790.0</v>
      </c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177">
        <v>791.0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177">
        <v>792.0</v>
      </c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177">
        <v>793.0</v>
      </c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177">
        <v>794.0</v>
      </c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177">
        <v>795.0</v>
      </c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177">
        <v>796.0</v>
      </c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177">
        <v>797.0</v>
      </c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177">
        <v>798.0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177">
        <v>799.0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177">
        <v>800.0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177">
        <v>801.0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177">
        <v>802.0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177">
        <v>803.0</v>
      </c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177">
        <v>804.0</v>
      </c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177">
        <v>805.0</v>
      </c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177">
        <v>806.0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177">
        <v>807.0</v>
      </c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177">
        <v>808.0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177">
        <v>809.0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177">
        <v>810.0</v>
      </c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177">
        <v>811.0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177">
        <v>812.0</v>
      </c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177">
        <v>813.0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177">
        <v>814.0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177">
        <v>815.0</v>
      </c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177">
        <v>816.0</v>
      </c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177">
        <v>817.0</v>
      </c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177">
        <v>818.0</v>
      </c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177">
        <v>819.0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177">
        <v>820.0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177">
        <v>821.0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177">
        <v>822.0</v>
      </c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177">
        <v>823.0</v>
      </c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177">
        <v>824.0</v>
      </c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177">
        <v>825.0</v>
      </c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177">
        <v>826.0</v>
      </c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177">
        <v>827.0</v>
      </c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177">
        <v>828.0</v>
      </c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177">
        <v>829.0</v>
      </c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177">
        <v>830.0</v>
      </c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177">
        <v>831.0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177">
        <v>832.0</v>
      </c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177">
        <v>833.0</v>
      </c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177">
        <v>834.0</v>
      </c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177">
        <v>835.0</v>
      </c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177">
        <v>836.0</v>
      </c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177">
        <v>837.0</v>
      </c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177">
        <v>838.0</v>
      </c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177">
        <v>839.0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177">
        <v>840.0</v>
      </c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177">
        <v>841.0</v>
      </c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177">
        <v>842.0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177">
        <v>843.0</v>
      </c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177">
        <v>844.0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177">
        <v>845.0</v>
      </c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177">
        <v>846.0</v>
      </c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177">
        <v>847.0</v>
      </c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177">
        <v>848.0</v>
      </c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177">
        <v>849.0</v>
      </c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177">
        <v>850.0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177">
        <v>851.0</v>
      </c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177">
        <v>852.0</v>
      </c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177">
        <v>853.0</v>
      </c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177">
        <v>854.0</v>
      </c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177">
        <v>855.0</v>
      </c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177">
        <v>856.0</v>
      </c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177">
        <v>857.0</v>
      </c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177">
        <v>858.0</v>
      </c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177">
        <v>859.0</v>
      </c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177">
        <v>860.0</v>
      </c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177">
        <v>861.0</v>
      </c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177">
        <v>862.0</v>
      </c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177">
        <v>863.0</v>
      </c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177">
        <v>864.0</v>
      </c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177">
        <v>865.0</v>
      </c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177">
        <v>866.0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177">
        <v>867.0</v>
      </c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177">
        <v>868.0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177">
        <v>869.0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177">
        <v>870.0</v>
      </c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177">
        <v>871.0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177">
        <v>872.0</v>
      </c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177">
        <v>873.0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177">
        <v>874.0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177">
        <v>875.0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177">
        <v>876.0</v>
      </c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177">
        <v>877.0</v>
      </c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177">
        <v>878.0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177">
        <v>879.0</v>
      </c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177">
        <v>880.0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177">
        <v>881.0</v>
      </c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177">
        <v>882.0</v>
      </c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177">
        <v>883.0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177">
        <v>884.0</v>
      </c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177">
        <v>885.0</v>
      </c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177">
        <v>886.0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177">
        <v>887.0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177">
        <v>888.0</v>
      </c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177">
        <v>889.0</v>
      </c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177">
        <v>890.0</v>
      </c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177">
        <v>891.0</v>
      </c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177">
        <v>892.0</v>
      </c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177">
        <v>893.0</v>
      </c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177">
        <v>894.0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177">
        <v>895.0</v>
      </c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177">
        <v>896.0</v>
      </c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177">
        <v>897.0</v>
      </c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177">
        <v>898.0</v>
      </c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177">
        <v>899.0</v>
      </c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177">
        <v>900.0</v>
      </c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177">
        <v>901.0</v>
      </c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177">
        <v>902.0</v>
      </c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177">
        <v>903.0</v>
      </c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177">
        <v>904.0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177">
        <v>905.0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177">
        <v>906.0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177">
        <v>907.0</v>
      </c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177">
        <v>908.0</v>
      </c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177">
        <v>909.0</v>
      </c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177">
        <v>910.0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177">
        <v>911.0</v>
      </c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177">
        <v>912.0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177">
        <v>913.0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177">
        <v>914.0</v>
      </c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177">
        <v>915.0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177">
        <v>916.0</v>
      </c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177">
        <v>917.0</v>
      </c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177">
        <v>918.0</v>
      </c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177">
        <v>919.0</v>
      </c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177">
        <v>920.0</v>
      </c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177">
        <v>921.0</v>
      </c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177">
        <v>922.0</v>
      </c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177">
        <v>923.0</v>
      </c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177">
        <v>924.0</v>
      </c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177">
        <v>925.0</v>
      </c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177">
        <v>926.0</v>
      </c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177">
        <v>927.0</v>
      </c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177">
        <v>928.0</v>
      </c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177">
        <v>929.0</v>
      </c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177">
        <v>930.0</v>
      </c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177">
        <v>931.0</v>
      </c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177">
        <v>932.0</v>
      </c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177">
        <v>933.0</v>
      </c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177">
        <v>934.0</v>
      </c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177">
        <v>935.0</v>
      </c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177">
        <v>936.0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177">
        <v>937.0</v>
      </c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177">
        <v>938.0</v>
      </c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177">
        <v>939.0</v>
      </c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177">
        <v>940.0</v>
      </c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177">
        <v>941.0</v>
      </c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177">
        <v>942.0</v>
      </c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177">
        <v>943.0</v>
      </c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177">
        <v>944.0</v>
      </c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177">
        <v>945.0</v>
      </c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177">
        <v>946.0</v>
      </c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177">
        <v>947.0</v>
      </c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177">
        <v>948.0</v>
      </c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177">
        <v>949.0</v>
      </c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177">
        <v>950.0</v>
      </c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177">
        <v>951.0</v>
      </c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177">
        <v>952.0</v>
      </c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177">
        <v>953.0</v>
      </c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177">
        <v>954.0</v>
      </c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177">
        <v>955.0</v>
      </c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177">
        <v>956.0</v>
      </c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177">
        <v>957.0</v>
      </c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177">
        <v>958.0</v>
      </c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177">
        <v>959.0</v>
      </c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177">
        <v>960.0</v>
      </c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177">
        <v>961.0</v>
      </c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177">
        <v>962.0</v>
      </c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177">
        <v>963.0</v>
      </c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177">
        <v>964.0</v>
      </c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177">
        <v>965.0</v>
      </c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177">
        <v>966.0</v>
      </c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177">
        <v>967.0</v>
      </c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177">
        <v>968.0</v>
      </c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177">
        <v>969.0</v>
      </c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177">
        <v>970.0</v>
      </c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177">
        <v>971.0</v>
      </c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177">
        <v>972.0</v>
      </c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177">
        <v>973.0</v>
      </c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177">
        <v>974.0</v>
      </c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177">
        <v>975.0</v>
      </c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177">
        <v>976.0</v>
      </c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177">
        <v>977.0</v>
      </c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177">
        <v>978.0</v>
      </c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177">
        <v>979.0</v>
      </c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177">
        <v>980.0</v>
      </c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177">
        <v>981.0</v>
      </c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177">
        <v>982.0</v>
      </c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177">
        <v>983.0</v>
      </c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177">
        <v>984.0</v>
      </c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177">
        <v>985.0</v>
      </c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177">
        <v>986.0</v>
      </c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177">
        <v>987.0</v>
      </c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177">
        <v>988.0</v>
      </c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177">
        <v>989.0</v>
      </c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177">
        <v>990.0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177">
        <v>991.0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177">
        <v>992.0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177">
        <v>993.0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177">
        <v>994.0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2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177">
        <v>995.0</v>
      </c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2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177">
        <v>996.0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2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177">
        <v>997.0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2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177">
        <v>998.0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2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177">
        <v>999.0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mergeCells count="1">
    <mergeCell ref="A1:E3"/>
  </mergeCells>
  <dataValidations>
    <dataValidation type="custom" allowBlank="1" showErrorMessage="1" sqref="B13:B20 B25:B28 B30:B34 B45:B48">
      <formula1>AND(GTE(LEN(B13),MIN((1),(100))),LTE(LEN(B13),MAX((1),(100))))</formula1>
    </dataValidation>
    <dataValidation type="list" allowBlank="1" showErrorMessage="1" sqref="D13:D39">
      <formula1>$B$7:$B$9</formula1>
    </dataValidation>
    <dataValidation type="custom" allowBlank="1" showErrorMessage="1" sqref="B21:B24 B29 B35:B39">
      <formula1>AND(GTE(LEN(#REF!),MIN((1),(100))),LTE(LEN(#REF!),MAX((1),(100))))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38"/>
    <col customWidth="1" min="4" max="4" width="5.25"/>
    <col customWidth="1" min="5" max="5" width="10.38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96" t="s">
        <v>111</v>
      </c>
      <c r="B1" s="2"/>
      <c r="C1" s="2"/>
      <c r="D1" s="2"/>
      <c r="E1" s="2"/>
      <c r="F1" s="2"/>
      <c r="G1" s="2"/>
      <c r="H1" s="3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12.75" customHeight="1">
      <c r="A2" s="6"/>
      <c r="H2" s="7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2.75" customHeight="1">
      <c r="A3" s="8"/>
      <c r="B3" s="9"/>
      <c r="C3" s="9"/>
      <c r="D3" s="9"/>
      <c r="E3" s="9"/>
      <c r="F3" s="9"/>
      <c r="G3" s="9"/>
      <c r="H3" s="10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12.75" customHeight="1">
      <c r="A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12.75" customHeight="1">
      <c r="A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12.75" customHeight="1">
      <c r="A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7.25" customHeight="1">
      <c r="A7" s="98"/>
      <c r="B7" s="78" t="s">
        <v>112</v>
      </c>
      <c r="C7" s="79"/>
      <c r="D7" s="79"/>
      <c r="E7" s="80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5.0" customHeight="1">
      <c r="A8" s="98"/>
      <c r="B8" s="189" t="s">
        <v>46</v>
      </c>
      <c r="C8" s="190" t="s">
        <v>113</v>
      </c>
      <c r="D8" s="190" t="s">
        <v>30</v>
      </c>
      <c r="E8" s="191" t="s">
        <v>114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15.0" customHeight="1">
      <c r="A9" s="98"/>
      <c r="B9" s="192" t="s">
        <v>115</v>
      </c>
      <c r="C9" s="193" t="s">
        <v>116</v>
      </c>
      <c r="D9" s="175">
        <v>2.0</v>
      </c>
      <c r="E9" s="194">
        <v>0.0</v>
      </c>
      <c r="H9" s="98"/>
      <c r="I9" s="195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5.0" customHeight="1">
      <c r="A10" s="98"/>
      <c r="B10" s="196" t="s">
        <v>117</v>
      </c>
      <c r="C10" s="174" t="s">
        <v>118</v>
      </c>
      <c r="D10" s="197">
        <v>1.0</v>
      </c>
      <c r="E10" s="198">
        <v>2.0</v>
      </c>
      <c r="H10" s="98"/>
      <c r="I10" s="195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5.0" customHeight="1">
      <c r="A11" s="98"/>
      <c r="B11" s="196" t="s">
        <v>119</v>
      </c>
      <c r="C11" s="174" t="s">
        <v>120</v>
      </c>
      <c r="D11" s="197">
        <v>1.0</v>
      </c>
      <c r="E11" s="198">
        <v>1.0</v>
      </c>
      <c r="H11" s="98"/>
      <c r="I11" s="195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ht="15.0" customHeight="1">
      <c r="A12" s="98"/>
      <c r="B12" s="196" t="s">
        <v>121</v>
      </c>
      <c r="C12" s="174" t="s">
        <v>122</v>
      </c>
      <c r="D12" s="197">
        <v>1.0</v>
      </c>
      <c r="E12" s="198">
        <v>0.0</v>
      </c>
      <c r="H12" s="98"/>
      <c r="I12" s="195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15.0" customHeight="1">
      <c r="A13" s="98"/>
      <c r="B13" s="196" t="s">
        <v>123</v>
      </c>
      <c r="C13" s="174" t="s">
        <v>124</v>
      </c>
      <c r="D13" s="197">
        <v>1.0</v>
      </c>
      <c r="E13" s="198">
        <v>0.0</v>
      </c>
      <c r="H13" s="98"/>
      <c r="I13" s="195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15.0" customHeight="1">
      <c r="A14" s="98"/>
      <c r="B14" s="196" t="s">
        <v>125</v>
      </c>
      <c r="C14" s="174" t="s">
        <v>126</v>
      </c>
      <c r="D14" s="197">
        <v>0.5</v>
      </c>
      <c r="E14" s="198">
        <v>5.0</v>
      </c>
      <c r="H14" s="98"/>
      <c r="I14" s="195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ht="15.0" customHeight="1">
      <c r="A15" s="98"/>
      <c r="B15" s="196" t="s">
        <v>127</v>
      </c>
      <c r="C15" s="174" t="s">
        <v>128</v>
      </c>
      <c r="D15" s="197">
        <v>0.5</v>
      </c>
      <c r="E15" s="198">
        <v>5.0</v>
      </c>
      <c r="H15" s="98"/>
      <c r="I15" s="195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ht="15.0" customHeight="1">
      <c r="A16" s="98"/>
      <c r="B16" s="196" t="s">
        <v>129</v>
      </c>
      <c r="C16" s="174" t="s">
        <v>130</v>
      </c>
      <c r="D16" s="197">
        <v>2.0</v>
      </c>
      <c r="E16" s="198">
        <v>5.0</v>
      </c>
      <c r="H16" s="98"/>
      <c r="I16" s="195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ht="15.0" customHeight="1">
      <c r="A17" s="98"/>
      <c r="B17" s="196" t="s">
        <v>131</v>
      </c>
      <c r="C17" s="174" t="s">
        <v>132</v>
      </c>
      <c r="D17" s="197">
        <v>1.0</v>
      </c>
      <c r="E17" s="198">
        <v>4.0</v>
      </c>
      <c r="H17" s="98"/>
      <c r="I17" s="195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ht="15.0" customHeight="1">
      <c r="A18" s="98"/>
      <c r="B18" s="196" t="s">
        <v>133</v>
      </c>
      <c r="C18" s="174" t="s">
        <v>134</v>
      </c>
      <c r="D18" s="197">
        <v>1.0</v>
      </c>
      <c r="E18" s="198">
        <v>0.0</v>
      </c>
      <c r="H18" s="98"/>
      <c r="I18" s="195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15.0" customHeight="1">
      <c r="A19" s="98"/>
      <c r="B19" s="196" t="s">
        <v>135</v>
      </c>
      <c r="C19" s="174" t="s">
        <v>136</v>
      </c>
      <c r="D19" s="197">
        <v>1.0</v>
      </c>
      <c r="E19" s="198">
        <v>3.0</v>
      </c>
      <c r="H19" s="98"/>
      <c r="I19" s="195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5.0" customHeight="1">
      <c r="A20" s="98"/>
      <c r="B20" s="196" t="s">
        <v>137</v>
      </c>
      <c r="C20" s="174" t="s">
        <v>138</v>
      </c>
      <c r="D20" s="197">
        <v>1.0</v>
      </c>
      <c r="E20" s="198">
        <v>5.0</v>
      </c>
      <c r="H20" s="98"/>
      <c r="I20" s="195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15.0" customHeight="1">
      <c r="A21" s="98"/>
      <c r="B21" s="199" t="s">
        <v>139</v>
      </c>
      <c r="C21" s="200" t="s">
        <v>140</v>
      </c>
      <c r="D21" s="201">
        <v>1.0</v>
      </c>
      <c r="E21" s="202">
        <v>0.0</v>
      </c>
      <c r="H21" s="98"/>
      <c r="I21" s="195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5.0" customHeight="1">
      <c r="A22" s="98"/>
      <c r="C22" s="203" t="s">
        <v>141</v>
      </c>
      <c r="D22" s="204"/>
      <c r="E22" s="187">
        <f>0.6+(0.01*SUM(D9*E9,D10*E10,D11*E11,D12*E12,D13*E13,D14*E14,D15*E15,D16*E16,D17*E17,D18*E18,D19*E19,D20*E20,D21*E21))</f>
        <v>0.9</v>
      </c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5.0" customHeight="1">
      <c r="A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5.0" customHeight="1">
      <c r="A24" s="98"/>
      <c r="H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0" customHeight="1">
      <c r="A25" s="98"/>
      <c r="H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17.25" customHeight="1">
      <c r="A26" s="98"/>
      <c r="B26" s="78" t="s">
        <v>142</v>
      </c>
      <c r="C26" s="79"/>
      <c r="D26" s="79"/>
      <c r="E26" s="79"/>
      <c r="F26" s="79"/>
      <c r="G26" s="80"/>
      <c r="H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15.0" customHeight="1">
      <c r="A27" s="98"/>
      <c r="B27" s="205" t="s">
        <v>46</v>
      </c>
      <c r="C27" s="206" t="s">
        <v>113</v>
      </c>
      <c r="D27" s="207"/>
      <c r="E27" s="208"/>
      <c r="F27" s="209" t="s">
        <v>30</v>
      </c>
      <c r="G27" s="210" t="s">
        <v>114</v>
      </c>
      <c r="H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5.0" customHeight="1">
      <c r="A28" s="98"/>
      <c r="B28" s="110" t="s">
        <v>143</v>
      </c>
      <c r="C28" s="211" t="s">
        <v>144</v>
      </c>
      <c r="D28" s="212"/>
      <c r="E28" s="213"/>
      <c r="F28" s="111">
        <v>1.5</v>
      </c>
      <c r="G28" s="214">
        <v>1.0</v>
      </c>
      <c r="H28" s="98"/>
      <c r="I28" s="195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0" customHeight="1">
      <c r="A29" s="98"/>
      <c r="B29" s="113" t="s">
        <v>145</v>
      </c>
      <c r="C29" s="215" t="s">
        <v>146</v>
      </c>
      <c r="D29" s="216"/>
      <c r="E29" s="217"/>
      <c r="F29" s="114">
        <v>0.5</v>
      </c>
      <c r="G29" s="218">
        <v>0.0</v>
      </c>
      <c r="H29" s="98"/>
      <c r="I29" s="195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5.0" customHeight="1">
      <c r="A30" s="98"/>
      <c r="B30" s="113" t="s">
        <v>147</v>
      </c>
      <c r="C30" s="215" t="s">
        <v>148</v>
      </c>
      <c r="D30" s="216"/>
      <c r="E30" s="217"/>
      <c r="F30" s="114">
        <v>1.0</v>
      </c>
      <c r="G30" s="218">
        <v>2.0</v>
      </c>
      <c r="H30" s="98"/>
      <c r="I30" s="195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5.0" customHeight="1">
      <c r="A31" s="98"/>
      <c r="B31" s="113" t="s">
        <v>149</v>
      </c>
      <c r="C31" s="215" t="s">
        <v>150</v>
      </c>
      <c r="D31" s="216"/>
      <c r="E31" s="217"/>
      <c r="F31" s="114">
        <v>0.5</v>
      </c>
      <c r="G31" s="218">
        <v>0.0</v>
      </c>
      <c r="H31" s="98"/>
      <c r="I31" s="195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5.0" customHeight="1">
      <c r="A32" s="98"/>
      <c r="B32" s="113" t="s">
        <v>151</v>
      </c>
      <c r="C32" s="215" t="s">
        <v>152</v>
      </c>
      <c r="D32" s="216"/>
      <c r="E32" s="217"/>
      <c r="F32" s="114">
        <v>1.0</v>
      </c>
      <c r="G32" s="218">
        <v>3.0</v>
      </c>
      <c r="H32" s="98"/>
      <c r="I32" s="195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15.0" customHeight="1">
      <c r="A33" s="98"/>
      <c r="B33" s="113" t="s">
        <v>153</v>
      </c>
      <c r="C33" s="215" t="s">
        <v>154</v>
      </c>
      <c r="D33" s="216"/>
      <c r="E33" s="217"/>
      <c r="F33" s="114">
        <v>2.0</v>
      </c>
      <c r="G33" s="218">
        <v>3.0</v>
      </c>
      <c r="H33" s="98"/>
      <c r="I33" s="195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5.0" customHeight="1">
      <c r="A34" s="98"/>
      <c r="B34" s="113" t="s">
        <v>155</v>
      </c>
      <c r="C34" s="215" t="s">
        <v>156</v>
      </c>
      <c r="D34" s="216"/>
      <c r="E34" s="217"/>
      <c r="F34" s="114">
        <v>-1.0</v>
      </c>
      <c r="G34" s="115">
        <v>5.0</v>
      </c>
      <c r="H34" s="98"/>
      <c r="I34" s="195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5.0" customHeight="1">
      <c r="A35" s="98"/>
      <c r="B35" s="219" t="s">
        <v>157</v>
      </c>
      <c r="C35" s="220" t="s">
        <v>158</v>
      </c>
      <c r="D35" s="221"/>
      <c r="E35" s="222"/>
      <c r="F35" s="117">
        <v>-1.0</v>
      </c>
      <c r="G35" s="223">
        <v>3.0</v>
      </c>
      <c r="H35" s="98"/>
      <c r="I35" s="195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5.0" customHeight="1">
      <c r="B36" s="224"/>
      <c r="C36" s="225" t="s">
        <v>159</v>
      </c>
      <c r="D36" s="226"/>
      <c r="E36" s="226"/>
      <c r="F36" s="204"/>
      <c r="G36" s="227">
        <f>1.4+(-0.03*SUM(F28*G28,F29*G29,F30*G30,F31*G31,F32*G32,F33*G33,F34*G34,F35*G35))</f>
        <v>1.265</v>
      </c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15.0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12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12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12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2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12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12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2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12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12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2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12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12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12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2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12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12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12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12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2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12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12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2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12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12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2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12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12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2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12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12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12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2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12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12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2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12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12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2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12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12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12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12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12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12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12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12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12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12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12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12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12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12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12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2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12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12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12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12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12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12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12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12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12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12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12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12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12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12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12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12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12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2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2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2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2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2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2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2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2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2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2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2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2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2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2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2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2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2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2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2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2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2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2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2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2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2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2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2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2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2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2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2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2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2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2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2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2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2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2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2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2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2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2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2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2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2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2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2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2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2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2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2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2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2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2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2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2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2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2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2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2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2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2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2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2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2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2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2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2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2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2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2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2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2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2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2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2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2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2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2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2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2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2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2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2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2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2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2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2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2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2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2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2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2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2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2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2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2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2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2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2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2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2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2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2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2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2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2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2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2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2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2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2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ht="12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ht="12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ht="12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ht="12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ht="12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ht="12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ht="12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ht="12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ht="12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ht="12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ht="12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ht="12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ht="12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ht="12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ht="12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ht="12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ht="12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ht="12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ht="12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12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12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12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12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12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12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12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12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12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12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12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12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12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12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12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12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12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12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12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12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12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12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12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12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12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12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12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12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12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12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12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12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12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12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12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12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12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12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12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12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12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12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12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12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12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12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12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12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12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12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12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12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12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12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12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12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12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12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12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12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12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12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12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12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12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12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12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12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12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12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12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12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12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12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12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12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12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12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12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12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12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12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12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12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12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12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12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12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12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12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12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12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12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12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12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12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12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12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12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12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12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12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12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12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12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12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12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12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12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12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12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12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12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12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12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12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12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12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12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12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12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12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12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12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12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12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12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12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12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12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12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12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12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12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12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12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12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12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12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12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12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12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12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12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12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12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12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12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12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12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12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12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12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12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12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12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12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12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12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12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12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12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12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12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12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12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12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12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12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12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12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12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12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12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12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12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12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12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12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12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12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12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12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12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12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12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12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12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12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12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12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12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12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12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12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12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12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12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12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12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12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12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12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12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12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12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12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12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12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12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12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12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12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12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12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12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12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12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12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12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12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12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12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12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12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12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12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12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12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12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12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12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12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12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12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12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12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12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12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12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12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12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12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12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12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12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12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12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12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12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12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12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12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12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12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12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12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12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12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12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12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12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12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12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12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12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12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12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12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12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12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12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12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12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12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12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12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12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12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12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12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12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12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12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12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12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12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12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12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12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12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12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12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12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12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12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12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12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12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12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12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12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12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12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12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12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12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12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12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12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12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12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12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12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12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12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12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12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12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12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12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12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12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12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12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12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12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12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12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12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12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12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12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12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12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12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12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12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12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12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12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12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12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12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12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12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12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12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12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12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12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12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12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12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12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12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12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12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12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12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12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12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12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12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12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12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12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12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12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12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12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12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12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12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12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12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12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12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12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12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12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12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12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12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12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12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12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12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12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12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12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12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12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12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12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12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12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12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12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12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12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12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12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12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12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12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12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12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12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12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12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12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12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12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12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12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12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12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12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12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12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12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12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12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12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12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12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12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12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12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12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12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12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12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12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12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12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12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12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12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12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12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12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12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12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12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12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12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12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12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12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12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12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12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12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12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12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12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12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12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12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12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12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12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12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12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12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12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12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12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12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12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12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12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12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12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12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12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12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12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12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12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12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12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12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12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12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12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12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12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12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12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12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12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12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12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12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12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12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12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12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12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12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12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12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12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12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12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12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12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12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12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12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12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12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12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12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12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12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12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12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12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12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12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12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12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12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12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12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12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12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12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12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12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12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12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12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12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12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12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12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12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12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12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12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12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12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12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12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12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12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12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12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12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12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12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12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12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12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12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12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12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12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12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12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12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12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12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12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12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12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12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12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12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12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12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12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12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12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12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12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12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12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12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12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12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12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12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12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12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12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12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12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12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12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12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12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12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12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12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12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12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12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12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12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12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12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12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12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12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12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12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12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12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12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12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12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12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12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12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12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12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12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12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12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12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12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12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12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12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12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12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12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12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12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12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12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12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12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12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12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12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12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12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12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12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12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12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12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12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12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12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12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12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12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12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12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12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12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12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12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12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12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12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12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12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12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12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12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12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12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12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12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12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12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12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12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12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12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12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12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12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12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12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12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12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12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12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12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12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12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12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12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12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12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12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12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12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12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12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12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12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12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12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12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12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12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12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12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12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12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12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12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12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12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12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12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12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12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12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12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12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12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12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12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12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12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12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12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12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12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12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12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12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12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12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12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12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12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12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12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12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12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12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12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12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12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12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12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12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12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12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12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12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12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12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12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12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12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12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12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4">
    <mergeCell ref="C30:E30"/>
    <mergeCell ref="C31:E31"/>
    <mergeCell ref="C32:E32"/>
    <mergeCell ref="C33:E33"/>
    <mergeCell ref="C34:E34"/>
    <mergeCell ref="C35:E35"/>
    <mergeCell ref="C36:F36"/>
    <mergeCell ref="A1:H3"/>
    <mergeCell ref="B7:E7"/>
    <mergeCell ref="C22:D22"/>
    <mergeCell ref="B26:G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5" width="15.38"/>
    <col customWidth="1" min="6" max="6" width="16.5"/>
    <col customWidth="1" min="7" max="7" width="15.38"/>
    <col customWidth="1" min="8" max="8" width="16.38"/>
    <col customWidth="1" min="9" max="12" width="15.38"/>
    <col customWidth="1" min="13" max="32" width="18.5"/>
  </cols>
  <sheetData>
    <row r="1" ht="12.75" customHeight="1">
      <c r="A1" s="228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29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</row>
    <row r="2" ht="12.75" customHeight="1">
      <c r="A2" s="6"/>
      <c r="L2" s="7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</row>
    <row r="3" ht="12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</row>
    <row r="4" ht="16.5" customHeigh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ht="15.75" customHeight="1">
      <c r="A5" s="119"/>
      <c r="B5" s="230" t="s">
        <v>161</v>
      </c>
      <c r="C5" s="231" t="s">
        <v>162</v>
      </c>
      <c r="D5" s="231" t="s">
        <v>163</v>
      </c>
      <c r="E5" s="231" t="s">
        <v>164</v>
      </c>
      <c r="F5" s="231" t="s">
        <v>165</v>
      </c>
      <c r="G5" s="231" t="s">
        <v>166</v>
      </c>
      <c r="H5" s="231" t="s">
        <v>167</v>
      </c>
      <c r="I5" s="231" t="s">
        <v>168</v>
      </c>
      <c r="J5" s="231" t="s">
        <v>169</v>
      </c>
      <c r="K5" s="231" t="s">
        <v>170</v>
      </c>
      <c r="L5" s="232" t="s">
        <v>171</v>
      </c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</row>
    <row r="6" ht="15.75" customHeight="1">
      <c r="A6" s="119"/>
      <c r="B6" s="110" t="s">
        <v>172</v>
      </c>
      <c r="C6" s="111">
        <v>190.0</v>
      </c>
      <c r="D6" s="111">
        <f t="shared" ref="D6:D9" si="1">SUM(E6:K6)</f>
        <v>589</v>
      </c>
      <c r="E6" s="111">
        <v>25.0</v>
      </c>
      <c r="F6" s="111">
        <v>80.0</v>
      </c>
      <c r="G6" s="111">
        <v>25.0</v>
      </c>
      <c r="H6" s="111">
        <v>400.0</v>
      </c>
      <c r="I6" s="111">
        <v>10.0</v>
      </c>
      <c r="J6" s="111">
        <v>25.0</v>
      </c>
      <c r="K6" s="111">
        <v>24.0</v>
      </c>
      <c r="L6" s="233">
        <f t="shared" ref="L6:L9" si="2">D6/C6</f>
        <v>3.1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</row>
    <row r="7" ht="15.75" customHeight="1">
      <c r="A7" s="119"/>
      <c r="B7" s="113" t="s">
        <v>173</v>
      </c>
      <c r="C7" s="114">
        <v>130.0</v>
      </c>
      <c r="D7" s="114">
        <f t="shared" si="1"/>
        <v>326</v>
      </c>
      <c r="E7" s="114">
        <v>20.0</v>
      </c>
      <c r="F7" s="114">
        <v>120.0</v>
      </c>
      <c r="G7" s="114">
        <v>30.0</v>
      </c>
      <c r="H7" s="114">
        <v>100.0</v>
      </c>
      <c r="I7" s="114">
        <v>10.0</v>
      </c>
      <c r="J7" s="114">
        <v>30.0</v>
      </c>
      <c r="K7" s="114">
        <v>16.0</v>
      </c>
      <c r="L7" s="234">
        <f t="shared" si="2"/>
        <v>2.507692308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</row>
    <row r="8" ht="15.75" customHeight="1">
      <c r="A8" s="119"/>
      <c r="B8" s="113" t="s">
        <v>174</v>
      </c>
      <c r="C8" s="114">
        <v>140.0</v>
      </c>
      <c r="D8" s="114">
        <f t="shared" si="1"/>
        <v>399</v>
      </c>
      <c r="E8" s="235">
        <v>17.0</v>
      </c>
      <c r="F8" s="235">
        <v>90.0</v>
      </c>
      <c r="G8" s="235">
        <v>32.0</v>
      </c>
      <c r="H8" s="235">
        <v>200.0</v>
      </c>
      <c r="I8" s="235">
        <v>12.0</v>
      </c>
      <c r="J8" s="235">
        <v>32.0</v>
      </c>
      <c r="K8" s="235">
        <v>16.0</v>
      </c>
      <c r="L8" s="234">
        <f t="shared" si="2"/>
        <v>2.85</v>
      </c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</row>
    <row r="9" ht="15.75" customHeight="1">
      <c r="A9" s="119"/>
      <c r="B9" s="113" t="s">
        <v>175</v>
      </c>
      <c r="C9" s="114">
        <v>125.0</v>
      </c>
      <c r="D9" s="114">
        <f t="shared" si="1"/>
        <v>486</v>
      </c>
      <c r="E9" s="114">
        <v>22.0</v>
      </c>
      <c r="F9" s="114">
        <v>80.0</v>
      </c>
      <c r="G9" s="114">
        <v>33.0</v>
      </c>
      <c r="H9" s="114">
        <v>300.0</v>
      </c>
      <c r="I9" s="114">
        <v>8.0</v>
      </c>
      <c r="J9" s="114">
        <v>35.0</v>
      </c>
      <c r="K9" s="114">
        <v>8.0</v>
      </c>
      <c r="L9" s="234">
        <f t="shared" si="2"/>
        <v>3.888</v>
      </c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</row>
    <row r="10" ht="15.75" customHeight="1">
      <c r="A10" s="119"/>
      <c r="B10" s="113"/>
      <c r="C10" s="114"/>
      <c r="D10" s="114"/>
      <c r="E10" s="114"/>
      <c r="F10" s="114"/>
      <c r="G10" s="114"/>
      <c r="H10" s="114"/>
      <c r="I10" s="114"/>
      <c r="J10" s="114"/>
      <c r="K10" s="114"/>
      <c r="L10" s="234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</row>
    <row r="11" ht="15.75" customHeight="1">
      <c r="A11" s="119"/>
      <c r="B11" s="113"/>
      <c r="C11" s="114"/>
      <c r="D11" s="114"/>
      <c r="E11" s="114"/>
      <c r="F11" s="114"/>
      <c r="G11" s="114"/>
      <c r="H11" s="114"/>
      <c r="I11" s="114"/>
      <c r="J11" s="114"/>
      <c r="K11" s="114"/>
      <c r="L11" s="234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</row>
    <row r="12" ht="15.75" customHeight="1">
      <c r="A12" s="119"/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234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</row>
    <row r="13" ht="15.75" customHeight="1">
      <c r="A13" s="119"/>
      <c r="B13" s="113"/>
      <c r="C13" s="114"/>
      <c r="D13" s="114"/>
      <c r="E13" s="114"/>
      <c r="F13" s="114"/>
      <c r="G13" s="114"/>
      <c r="H13" s="114"/>
      <c r="I13" s="114"/>
      <c r="J13" s="114"/>
      <c r="K13" s="114"/>
      <c r="L13" s="234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</row>
    <row r="14" ht="15.75" customHeight="1">
      <c r="A14" s="119"/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234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</row>
    <row r="15" ht="15.75" customHeight="1">
      <c r="A15" s="119"/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234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</row>
    <row r="16" ht="15.75" customHeight="1">
      <c r="A16" s="119"/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234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</row>
    <row r="17" ht="15.75" customHeight="1">
      <c r="A17" s="119"/>
      <c r="B17" s="113"/>
      <c r="C17" s="114"/>
      <c r="D17" s="114"/>
      <c r="E17" s="114"/>
      <c r="F17" s="114"/>
      <c r="G17" s="114"/>
      <c r="H17" s="114"/>
      <c r="I17" s="114"/>
      <c r="J17" s="114"/>
      <c r="K17" s="114"/>
      <c r="L17" s="234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</row>
    <row r="18" ht="15.75" customHeight="1">
      <c r="A18" s="119"/>
      <c r="B18" s="113"/>
      <c r="C18" s="114"/>
      <c r="D18" s="114"/>
      <c r="E18" s="114"/>
      <c r="F18" s="114"/>
      <c r="G18" s="114"/>
      <c r="H18" s="114"/>
      <c r="I18" s="114"/>
      <c r="J18" s="114"/>
      <c r="K18" s="114"/>
      <c r="L18" s="234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</row>
    <row r="19" ht="15.75" customHeight="1">
      <c r="A19" s="119"/>
      <c r="B19" s="113"/>
      <c r="C19" s="114"/>
      <c r="D19" s="114"/>
      <c r="E19" s="114"/>
      <c r="F19" s="114"/>
      <c r="G19" s="114"/>
      <c r="H19" s="114"/>
      <c r="I19" s="114"/>
      <c r="J19" s="114"/>
      <c r="K19" s="114"/>
      <c r="L19" s="234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</row>
    <row r="20" ht="15.75" customHeight="1">
      <c r="A20" s="119"/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234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</row>
    <row r="21" ht="15.75" customHeight="1">
      <c r="A21" s="119"/>
      <c r="B21" s="113"/>
      <c r="C21" s="114"/>
      <c r="D21" s="114"/>
      <c r="E21" s="114"/>
      <c r="F21" s="114"/>
      <c r="G21" s="114"/>
      <c r="H21" s="114"/>
      <c r="I21" s="114"/>
      <c r="J21" s="114"/>
      <c r="K21" s="114"/>
      <c r="L21" s="234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</row>
    <row r="22" ht="15.75" customHeight="1">
      <c r="A22" s="119"/>
      <c r="B22" s="113"/>
      <c r="C22" s="114"/>
      <c r="D22" s="114"/>
      <c r="E22" s="114"/>
      <c r="F22" s="114"/>
      <c r="G22" s="114"/>
      <c r="H22" s="114"/>
      <c r="I22" s="114"/>
      <c r="J22" s="114"/>
      <c r="K22" s="114"/>
      <c r="L22" s="23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</row>
    <row r="23" ht="15.75" customHeight="1">
      <c r="A23" s="119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23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</row>
    <row r="24" ht="15.75" customHeight="1">
      <c r="A24" s="119"/>
      <c r="B24" s="113"/>
      <c r="C24" s="114"/>
      <c r="D24" s="114"/>
      <c r="E24" s="114"/>
      <c r="F24" s="114"/>
      <c r="G24" s="114"/>
      <c r="H24" s="114"/>
      <c r="I24" s="114"/>
      <c r="J24" s="114"/>
      <c r="K24" s="114"/>
      <c r="L24" s="234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</row>
    <row r="25" ht="15.75" customHeight="1">
      <c r="A25" s="119"/>
      <c r="B25" s="113"/>
      <c r="C25" s="114"/>
      <c r="D25" s="114"/>
      <c r="E25" s="114"/>
      <c r="F25" s="114"/>
      <c r="G25" s="114"/>
      <c r="H25" s="114"/>
      <c r="I25" s="114"/>
      <c r="J25" s="114"/>
      <c r="K25" s="114"/>
      <c r="L25" s="234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</row>
    <row r="26" ht="15.75" customHeight="1">
      <c r="A26" s="119"/>
      <c r="B26" s="113"/>
      <c r="C26" s="114"/>
      <c r="D26" s="114"/>
      <c r="E26" s="114"/>
      <c r="F26" s="114"/>
      <c r="G26" s="114"/>
      <c r="H26" s="114"/>
      <c r="I26" s="114"/>
      <c r="J26" s="114"/>
      <c r="K26" s="114"/>
      <c r="L26" s="234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</row>
    <row r="27" ht="15.75" customHeight="1">
      <c r="A27" s="119"/>
      <c r="B27" s="113"/>
      <c r="C27" s="114"/>
      <c r="D27" s="114"/>
      <c r="E27" s="114"/>
      <c r="F27" s="114"/>
      <c r="G27" s="114"/>
      <c r="H27" s="114"/>
      <c r="I27" s="114"/>
      <c r="J27" s="114"/>
      <c r="K27" s="114"/>
      <c r="L27" s="234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</row>
    <row r="28" ht="15.75" customHeight="1">
      <c r="A28" s="119"/>
      <c r="B28" s="113"/>
      <c r="C28" s="114"/>
      <c r="D28" s="114"/>
      <c r="E28" s="114"/>
      <c r="F28" s="114"/>
      <c r="G28" s="114"/>
      <c r="H28" s="114"/>
      <c r="I28" s="114"/>
      <c r="J28" s="114"/>
      <c r="K28" s="114"/>
      <c r="L28" s="234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</row>
    <row r="29" ht="15.75" customHeight="1">
      <c r="A29" s="119"/>
      <c r="B29" s="236" t="s">
        <v>176</v>
      </c>
      <c r="C29" s="217"/>
      <c r="D29" s="114">
        <f t="shared" ref="D29:K29" si="3">SUM(D6:D28)</f>
        <v>1800</v>
      </c>
      <c r="E29" s="114">
        <f t="shared" si="3"/>
        <v>84</v>
      </c>
      <c r="F29" s="114">
        <f t="shared" si="3"/>
        <v>370</v>
      </c>
      <c r="G29" s="114">
        <f t="shared" si="3"/>
        <v>120</v>
      </c>
      <c r="H29" s="114">
        <f t="shared" si="3"/>
        <v>1000</v>
      </c>
      <c r="I29" s="114">
        <f t="shared" si="3"/>
        <v>40</v>
      </c>
      <c r="J29" s="114">
        <f t="shared" si="3"/>
        <v>122</v>
      </c>
      <c r="K29" s="114">
        <f t="shared" si="3"/>
        <v>64</v>
      </c>
      <c r="L29" s="115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</row>
    <row r="30" ht="15.75" customHeight="1">
      <c r="A30" s="119"/>
      <c r="B30" s="219"/>
      <c r="C30" s="117"/>
      <c r="D30" s="117"/>
      <c r="E30" s="117"/>
      <c r="F30" s="117"/>
      <c r="G30" s="117"/>
      <c r="H30" s="117"/>
      <c r="I30" s="117"/>
      <c r="J30" s="237" t="s">
        <v>177</v>
      </c>
      <c r="K30" s="222"/>
      <c r="L30" s="238">
        <v>8.0</v>
      </c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</row>
    <row r="31" ht="15.75" customHeight="1">
      <c r="A31" s="119"/>
      <c r="B31" s="239" t="s">
        <v>178</v>
      </c>
      <c r="C31" s="226"/>
      <c r="D31" s="204"/>
      <c r="E31" s="240">
        <f t="shared" ref="E31:K31" si="4">(E29*1)/$D$29</f>
        <v>0.04666666667</v>
      </c>
      <c r="F31" s="240">
        <f t="shared" si="4"/>
        <v>0.2055555556</v>
      </c>
      <c r="G31" s="240">
        <f t="shared" si="4"/>
        <v>0.06666666667</v>
      </c>
      <c r="H31" s="240">
        <f t="shared" si="4"/>
        <v>0.5555555556</v>
      </c>
      <c r="I31" s="240">
        <f t="shared" si="4"/>
        <v>0.02222222222</v>
      </c>
      <c r="J31" s="240">
        <f t="shared" si="4"/>
        <v>0.06777777778</v>
      </c>
      <c r="K31" s="240">
        <f t="shared" si="4"/>
        <v>0.03555555556</v>
      </c>
      <c r="L31" s="241">
        <f>SUM(E31:K31)</f>
        <v>1</v>
      </c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L3"/>
    <mergeCell ref="B29:C29"/>
    <mergeCell ref="J30:K30"/>
    <mergeCell ref="B31:D3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2005-01-11T13:43:58Z</dcterms:created>
  <dc:creator>Owner</dc:creator>
</cp:coreProperties>
</file>